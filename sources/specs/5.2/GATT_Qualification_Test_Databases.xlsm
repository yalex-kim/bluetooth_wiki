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oleburn\Public\Technical\Technical Editing\TEST Documents\_Core\GATT\"/>
    </mc:Choice>
  </mc:AlternateContent>
  <bookViews>
    <workbookView xWindow="0" yWindow="0" windowWidth="15300" windowHeight="5925" tabRatio="667"/>
  </bookViews>
  <sheets>
    <sheet name="Contents and Directions" sheetId="16" r:id="rId1"/>
    <sheet name="Small Database" sheetId="10" r:id="rId2"/>
    <sheet name="Large Database 1" sheetId="13" r:id="rId3"/>
    <sheet name="Large Database 2" sheetId="14" r:id="rId4"/>
    <sheet name="Large Database 3" sheetId="15" r:id="rId5"/>
    <sheet name="Large Database Source" sheetId="12" r:id="rId6"/>
    <sheet name="UUID Table" sheetId="5" r:id="rId7"/>
    <sheet name="Revision History" sheetId="17" r:id="rId8"/>
  </sheets>
  <functionGroups builtInGroupCount="18"/>
  <externalReferences>
    <externalReference r:id="rId9"/>
  </externalReferences>
  <definedNames>
    <definedName name="ADV_PAYLOAD_IND" localSheetId="2">'[1]Packet Lengths'!#REF!</definedName>
    <definedName name="ADV_PAYLOAD_IND" localSheetId="3">'[1]Packet Lengths'!#REF!</definedName>
    <definedName name="ADV_PAYLOAD_IND" localSheetId="4">'[1]Packet Lengths'!#REF!</definedName>
    <definedName name="ADV_PAYLOAD_IND" localSheetId="5">'[1]Packet Lengths'!#REF!</definedName>
    <definedName name="ADV_PAYLOAD_IND" localSheetId="1">'[1]Packet Lengths'!#REF!</definedName>
    <definedName name="ADV_PAYLOAD_IND">'[1]Packet Lengths'!#REF!</definedName>
  </definedNames>
  <calcPr calcId="152511"/>
</workbook>
</file>

<file path=xl/calcChain.xml><?xml version="1.0" encoding="utf-8"?>
<calcChain xmlns="http://schemas.openxmlformats.org/spreadsheetml/2006/main">
  <c r="A38" i="13" l="1"/>
  <c r="B38" i="13"/>
  <c r="B24" i="14"/>
  <c r="A25" i="14"/>
  <c r="A26" i="14"/>
  <c r="A27" i="14"/>
  <c r="A28" i="14"/>
  <c r="A29" i="14"/>
  <c r="A30" i="14"/>
  <c r="B30" i="14"/>
  <c r="L45" i="14"/>
  <c r="A9" i="15"/>
  <c r="A10" i="15"/>
  <c r="A11" i="15"/>
  <c r="B11" i="15"/>
  <c r="A21" i="14"/>
  <c r="A22" i="14"/>
  <c r="A23" i="14"/>
  <c r="B23" i="14"/>
  <c r="L24" i="14"/>
  <c r="B22" i="14"/>
  <c r="A12" i="13"/>
  <c r="A13" i="13"/>
  <c r="A14" i="13"/>
  <c r="B14" i="13"/>
  <c r="B15" i="13"/>
  <c r="L15" i="13"/>
  <c r="B13" i="13"/>
  <c r="A13" i="10"/>
  <c r="A14" i="10"/>
  <c r="A15" i="10"/>
  <c r="B15" i="10"/>
  <c r="A44" i="15"/>
  <c r="B12" i="15"/>
  <c r="A13" i="15"/>
  <c r="A14" i="15"/>
  <c r="A15" i="15"/>
  <c r="A16" i="15"/>
  <c r="A17" i="15"/>
  <c r="B17" i="15"/>
  <c r="A35" i="15"/>
  <c r="A36" i="15"/>
  <c r="A37" i="15"/>
  <c r="B36" i="15"/>
  <c r="B43" i="15"/>
  <c r="A45" i="15"/>
  <c r="A46" i="15"/>
  <c r="A47" i="15"/>
  <c r="A48" i="15"/>
  <c r="B48" i="15"/>
  <c r="L36" i="15"/>
  <c r="B21" i="15"/>
  <c r="A25" i="15"/>
  <c r="A26" i="15"/>
  <c r="B26" i="15"/>
  <c r="L35" i="15"/>
  <c r="B35" i="15"/>
  <c r="B5" i="13"/>
  <c r="A6" i="13"/>
  <c r="A7" i="13"/>
  <c r="A8" i="13"/>
  <c r="A9" i="13"/>
  <c r="A10" i="13"/>
  <c r="B10" i="13"/>
  <c r="L65" i="13"/>
  <c r="A65" i="13"/>
  <c r="A66" i="13"/>
  <c r="A52" i="13"/>
  <c r="A53" i="13"/>
  <c r="A54" i="13"/>
  <c r="A55" i="13"/>
  <c r="B55" i="13"/>
  <c r="A59" i="13"/>
  <c r="A60" i="13"/>
  <c r="B60" i="13"/>
  <c r="B65" i="13"/>
  <c r="A16" i="13"/>
  <c r="A17" i="13"/>
  <c r="L16" i="13"/>
  <c r="B16" i="13"/>
  <c r="B34" i="14"/>
  <c r="A35" i="14"/>
  <c r="A36" i="14"/>
  <c r="A37" i="14"/>
  <c r="A38" i="14"/>
  <c r="A39" i="14"/>
  <c r="B39" i="14"/>
  <c r="L44" i="14"/>
  <c r="A44" i="14"/>
  <c r="A45" i="14"/>
  <c r="B52" i="14"/>
  <c r="A56" i="14"/>
  <c r="A57" i="14"/>
  <c r="B57" i="14"/>
  <c r="B44" i="14"/>
  <c r="B40" i="14"/>
  <c r="A41" i="14"/>
  <c r="A42" i="14"/>
  <c r="B42" i="14"/>
  <c r="L35" i="14"/>
  <c r="B43" i="14"/>
  <c r="A46" i="14"/>
  <c r="A47" i="14"/>
  <c r="A48" i="14"/>
  <c r="A49" i="14"/>
  <c r="B49" i="14"/>
  <c r="B35" i="14"/>
  <c r="L25" i="14"/>
  <c r="A32" i="14"/>
  <c r="A33" i="14"/>
  <c r="B33" i="14"/>
  <c r="B38" i="14"/>
  <c r="B26" i="14"/>
  <c r="B58" i="13"/>
  <c r="A61" i="13"/>
  <c r="A62" i="13"/>
  <c r="A63" i="13"/>
  <c r="B63" i="13"/>
  <c r="L6" i="13"/>
  <c r="L85" i="13"/>
  <c r="A72" i="13"/>
  <c r="A73" i="13"/>
  <c r="A74" i="13"/>
  <c r="A75" i="13"/>
  <c r="A76" i="13"/>
  <c r="A77" i="13"/>
  <c r="B77" i="13"/>
  <c r="A78" i="13"/>
  <c r="A79" i="13"/>
  <c r="A80" i="13"/>
  <c r="B80" i="13"/>
  <c r="A81" i="13"/>
  <c r="A82" i="13"/>
  <c r="A83" i="13"/>
  <c r="B83" i="13"/>
  <c r="L86" i="13"/>
  <c r="L83" i="13"/>
  <c r="L80" i="13"/>
  <c r="L77" i="13"/>
  <c r="A84" i="13"/>
  <c r="B10" i="15"/>
  <c r="L8" i="15"/>
  <c r="B8" i="15"/>
  <c r="L20" i="14"/>
  <c r="B20" i="14"/>
  <c r="A36" i="13"/>
  <c r="A37" i="13"/>
  <c r="B37" i="13"/>
  <c r="L35" i="13"/>
  <c r="B35" i="13"/>
  <c r="L11" i="13"/>
  <c r="B11" i="13"/>
  <c r="B9" i="15"/>
  <c r="B21" i="14"/>
  <c r="B36" i="13"/>
  <c r="B12" i="13"/>
  <c r="L74" i="13"/>
  <c r="B13" i="10"/>
  <c r="B14" i="10"/>
  <c r="L32" i="12"/>
  <c r="L55" i="15"/>
  <c r="L68" i="14"/>
  <c r="L56" i="13"/>
  <c r="B13" i="15"/>
  <c r="B6" i="13"/>
  <c r="E152" i="5"/>
  <c r="E153" i="5"/>
  <c r="E154" i="5"/>
  <c r="E144" i="5"/>
  <c r="E143" i="5"/>
  <c r="E142" i="5"/>
  <c r="E168" i="5"/>
  <c r="L71" i="13"/>
  <c r="E166" i="5"/>
  <c r="E167" i="5"/>
  <c r="E169" i="5"/>
  <c r="E165" i="5"/>
  <c r="B71" i="13"/>
  <c r="B72" i="13"/>
  <c r="L40" i="14"/>
  <c r="B41" i="14"/>
  <c r="B71" i="15"/>
  <c r="L71" i="15"/>
  <c r="A19" i="15"/>
  <c r="A20" i="15"/>
  <c r="B20" i="15"/>
  <c r="L18" i="15"/>
  <c r="B18" i="15"/>
  <c r="A50" i="15"/>
  <c r="B50" i="15"/>
  <c r="A51" i="15"/>
  <c r="L49" i="15"/>
  <c r="B49" i="15"/>
  <c r="A28" i="15"/>
  <c r="A29" i="15"/>
  <c r="B28" i="15"/>
  <c r="L27" i="15"/>
  <c r="B27" i="15"/>
  <c r="B25" i="15"/>
  <c r="L24" i="15"/>
  <c r="B24" i="15"/>
  <c r="L34" i="15"/>
  <c r="B34" i="15"/>
  <c r="A6" i="15"/>
  <c r="L5" i="15"/>
  <c r="B5" i="15"/>
  <c r="L12" i="15"/>
  <c r="B14" i="15"/>
  <c r="A22" i="15"/>
  <c r="A23" i="15"/>
  <c r="B23" i="15"/>
  <c r="L21" i="15"/>
  <c r="B22" i="15"/>
  <c r="L43" i="15"/>
  <c r="A57" i="15"/>
  <c r="B57" i="15"/>
  <c r="A58" i="15"/>
  <c r="A59" i="15"/>
  <c r="L56" i="15"/>
  <c r="B56" i="15"/>
  <c r="A73" i="14"/>
  <c r="A74" i="14"/>
  <c r="B74" i="14"/>
  <c r="L72" i="14"/>
  <c r="B73" i="14"/>
  <c r="B72" i="14"/>
  <c r="A6" i="14"/>
  <c r="B6" i="14"/>
  <c r="A7" i="14"/>
  <c r="L5" i="14"/>
  <c r="B5" i="14"/>
  <c r="A70" i="14"/>
  <c r="A71" i="14"/>
  <c r="B71" i="14"/>
  <c r="L69" i="14"/>
  <c r="B69" i="14"/>
  <c r="A63" i="14"/>
  <c r="A64" i="14"/>
  <c r="A65" i="14"/>
  <c r="L62" i="14"/>
  <c r="B62" i="14"/>
  <c r="B56" i="14"/>
  <c r="L55" i="14"/>
  <c r="B55" i="14"/>
  <c r="L31" i="14"/>
  <c r="B31" i="14"/>
  <c r="L43" i="14"/>
  <c r="A53" i="14"/>
  <c r="A54" i="14"/>
  <c r="B54" i="14"/>
  <c r="L52" i="14"/>
  <c r="L34" i="14"/>
  <c r="L5" i="13"/>
  <c r="A90" i="13"/>
  <c r="A91" i="13"/>
  <c r="A92" i="13"/>
  <c r="L89" i="13"/>
  <c r="B89" i="13"/>
  <c r="L64" i="13"/>
  <c r="B64" i="13"/>
  <c r="L58" i="13"/>
  <c r="A26" i="13"/>
  <c r="L25" i="13"/>
  <c r="B25" i="13"/>
  <c r="L51" i="13"/>
  <c r="B51" i="13"/>
  <c r="A40" i="13"/>
  <c r="L39" i="13"/>
  <c r="B39" i="13"/>
  <c r="A29" i="13"/>
  <c r="B29" i="13"/>
  <c r="L28" i="13"/>
  <c r="B28" i="13"/>
  <c r="L70" i="12"/>
  <c r="A71" i="12"/>
  <c r="B70" i="12"/>
  <c r="A66" i="12"/>
  <c r="A67" i="12"/>
  <c r="L65" i="12"/>
  <c r="B65" i="12"/>
  <c r="L50" i="12"/>
  <c r="A51" i="12"/>
  <c r="A52" i="12"/>
  <c r="A53" i="12"/>
  <c r="B53" i="12"/>
  <c r="B51" i="12"/>
  <c r="B50" i="12"/>
  <c r="L43" i="12"/>
  <c r="A44" i="12"/>
  <c r="B44" i="12"/>
  <c r="A45" i="12"/>
  <c r="B43" i="12"/>
  <c r="L40" i="12"/>
  <c r="L37" i="12"/>
  <c r="L34" i="12"/>
  <c r="A41" i="12"/>
  <c r="A42" i="12"/>
  <c r="B42" i="12"/>
  <c r="B40" i="12"/>
  <c r="A38" i="12"/>
  <c r="A39" i="12"/>
  <c r="B39" i="12"/>
  <c r="B38" i="12"/>
  <c r="B37" i="12"/>
  <c r="A35" i="12"/>
  <c r="A36" i="12"/>
  <c r="B36" i="12"/>
  <c r="B34" i="12"/>
  <c r="L27" i="12"/>
  <c r="A28" i="12"/>
  <c r="A29" i="12"/>
  <c r="A30" i="12"/>
  <c r="B28" i="12"/>
  <c r="B27" i="12"/>
  <c r="L24" i="12"/>
  <c r="A16" i="12"/>
  <c r="B16" i="12"/>
  <c r="A17" i="12"/>
  <c r="L15" i="12"/>
  <c r="B15" i="12"/>
  <c r="A25" i="12"/>
  <c r="B24" i="12"/>
  <c r="A13" i="12"/>
  <c r="A14" i="12"/>
  <c r="B14" i="12"/>
  <c r="L12" i="12"/>
  <c r="B13" i="12"/>
  <c r="B12" i="12"/>
  <c r="A6" i="12"/>
  <c r="B6" i="12"/>
  <c r="L5" i="12"/>
  <c r="B5" i="12"/>
  <c r="E162" i="5"/>
  <c r="E150" i="5"/>
  <c r="E147" i="5"/>
  <c r="E141" i="5"/>
  <c r="E140" i="5"/>
  <c r="A16" i="10"/>
  <c r="A17" i="10"/>
  <c r="B17" i="10"/>
  <c r="L12" i="10"/>
  <c r="B12" i="10"/>
  <c r="A6" i="10"/>
  <c r="B6" i="10"/>
  <c r="L5" i="10"/>
  <c r="B5" i="10"/>
  <c r="E11" i="5"/>
  <c r="C5" i="5"/>
  <c r="E10" i="5"/>
  <c r="E12" i="5"/>
  <c r="E13" i="5"/>
  <c r="E14" i="5"/>
  <c r="E15" i="5"/>
  <c r="E16" i="5"/>
  <c r="E17" i="5"/>
  <c r="E18" i="5"/>
  <c r="E19" i="5"/>
  <c r="E21" i="5"/>
  <c r="E22" i="5"/>
  <c r="E23" i="5"/>
  <c r="E24" i="5"/>
  <c r="E25" i="5"/>
  <c r="E26" i="5"/>
  <c r="E27" i="5"/>
  <c r="E28" i="5"/>
  <c r="E29" i="5"/>
  <c r="E30" i="5"/>
  <c r="E31" i="5"/>
  <c r="E32" i="5"/>
  <c r="E33" i="5"/>
  <c r="E34" i="5"/>
  <c r="E35" i="5"/>
  <c r="E36" i="5"/>
  <c r="E37" i="5"/>
  <c r="E38" i="5"/>
  <c r="E39"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5" i="5"/>
  <c r="E146" i="5"/>
  <c r="E148" i="5"/>
  <c r="E149" i="5"/>
  <c r="E160" i="5"/>
  <c r="E157" i="5"/>
  <c r="E163" i="5"/>
  <c r="E164" i="5"/>
  <c r="D175" i="5" a="1"/>
  <c r="D175" i="5"/>
  <c r="A7" i="10"/>
  <c r="B16" i="10"/>
  <c r="B30" i="12"/>
  <c r="A31" i="12"/>
  <c r="B29" i="12"/>
  <c r="B35" i="12"/>
  <c r="B41" i="12"/>
  <c r="B52" i="12"/>
  <c r="A54" i="12"/>
  <c r="A8" i="10"/>
  <c r="B7" i="10"/>
  <c r="B19" i="15"/>
  <c r="B32" i="14"/>
  <c r="B70" i="14"/>
  <c r="B63" i="14"/>
  <c r="B52" i="13"/>
  <c r="B65" i="14"/>
  <c r="A66" i="14"/>
  <c r="A58" i="14"/>
  <c r="A30" i="15"/>
  <c r="B29" i="15"/>
  <c r="A52" i="15"/>
  <c r="B51" i="15"/>
  <c r="A55" i="12"/>
  <c r="B54" i="12"/>
  <c r="B71" i="12"/>
  <c r="A72" i="12"/>
  <c r="B72" i="12"/>
  <c r="B59" i="13"/>
  <c r="B64" i="14"/>
  <c r="A8" i="14"/>
  <c r="B7" i="14"/>
  <c r="A60" i="15"/>
  <c r="B59" i="15"/>
  <c r="A7" i="15"/>
  <c r="B6" i="15"/>
  <c r="B45" i="12"/>
  <c r="A46" i="12"/>
  <c r="A27" i="13"/>
  <c r="B27" i="13"/>
  <c r="B26" i="13"/>
  <c r="B45" i="14"/>
  <c r="A9" i="10"/>
  <c r="B8" i="10"/>
  <c r="A26" i="12"/>
  <c r="B26" i="12"/>
  <c r="B25" i="12"/>
  <c r="A41" i="13"/>
  <c r="B40" i="13"/>
  <c r="B36" i="14"/>
  <c r="B15" i="15"/>
  <c r="A32" i="12"/>
  <c r="B31" i="12"/>
  <c r="A18" i="12"/>
  <c r="B17" i="12"/>
  <c r="B67" i="12"/>
  <c r="A68" i="12"/>
  <c r="B53" i="14"/>
  <c r="B58" i="15"/>
  <c r="A7" i="12"/>
  <c r="B66" i="12"/>
  <c r="D176" i="5" a="1"/>
  <c r="D176" i="5"/>
  <c r="B74" i="13"/>
  <c r="B90" i="13"/>
  <c r="B7" i="13"/>
  <c r="B73" i="13"/>
  <c r="B53" i="13"/>
  <c r="A67" i="13"/>
  <c r="A68" i="13"/>
  <c r="B66" i="13"/>
  <c r="A93" i="13"/>
  <c r="A94" i="13"/>
  <c r="B92" i="13"/>
  <c r="B8" i="13"/>
  <c r="A30" i="13"/>
  <c r="B91" i="13"/>
  <c r="B41" i="13"/>
  <c r="A42" i="13"/>
  <c r="B94" i="13"/>
  <c r="A95" i="13"/>
  <c r="B7" i="15"/>
  <c r="A9" i="14"/>
  <c r="B8" i="14"/>
  <c r="B46" i="12"/>
  <c r="A47" i="12"/>
  <c r="A33" i="12"/>
  <c r="B33" i="12"/>
  <c r="B32" i="12"/>
  <c r="B37" i="14"/>
  <c r="B37" i="15"/>
  <c r="A38" i="15"/>
  <c r="B46" i="14"/>
  <c r="A53" i="15"/>
  <c r="B52" i="15"/>
  <c r="B58" i="14"/>
  <c r="A59" i="14"/>
  <c r="B44" i="15"/>
  <c r="A19" i="12"/>
  <c r="B18" i="12"/>
  <c r="B16" i="15"/>
  <c r="A61" i="15"/>
  <c r="B60" i="15"/>
  <c r="A8" i="12"/>
  <c r="B7" i="12"/>
  <c r="A69" i="12"/>
  <c r="B69" i="12"/>
  <c r="B68" i="12"/>
  <c r="A10" i="10"/>
  <c r="B9" i="10"/>
  <c r="A56" i="12"/>
  <c r="B55" i="12"/>
  <c r="B30" i="15"/>
  <c r="A31" i="15"/>
  <c r="B66" i="14"/>
  <c r="A67" i="14"/>
  <c r="B67" i="13"/>
  <c r="B75" i="13"/>
  <c r="B54" i="13"/>
  <c r="A31" i="13"/>
  <c r="B30" i="13"/>
  <c r="B9" i="13"/>
  <c r="A69" i="13"/>
  <c r="B68" i="13"/>
  <c r="B93" i="13"/>
  <c r="A18" i="13"/>
  <c r="A19" i="13"/>
  <c r="A20" i="13"/>
  <c r="A21" i="13"/>
  <c r="A22" i="13"/>
  <c r="A23" i="13"/>
  <c r="B17" i="13"/>
  <c r="B78" i="13"/>
  <c r="B42" i="13"/>
  <c r="A43" i="13"/>
  <c r="A24" i="13"/>
  <c r="B24" i="13"/>
  <c r="B23" i="13"/>
  <c r="B61" i="13"/>
  <c r="B27" i="14"/>
  <c r="A60" i="14"/>
  <c r="B59" i="14"/>
  <c r="B47" i="14"/>
  <c r="B47" i="12"/>
  <c r="A48" i="12"/>
  <c r="L16" i="12"/>
  <c r="L44" i="12"/>
  <c r="A62" i="15"/>
  <c r="B61" i="15"/>
  <c r="A20" i="12"/>
  <c r="B19" i="12"/>
  <c r="A10" i="14"/>
  <c r="B9" i="14"/>
  <c r="A68" i="14"/>
  <c r="B68" i="14"/>
  <c r="B67" i="14"/>
  <c r="B45" i="15"/>
  <c r="A39" i="15"/>
  <c r="B38" i="15"/>
  <c r="A32" i="15"/>
  <c r="B31" i="15"/>
  <c r="B56" i="12"/>
  <c r="A57" i="12"/>
  <c r="B10" i="10"/>
  <c r="A11" i="10"/>
  <c r="B8" i="12"/>
  <c r="A9" i="12"/>
  <c r="B53" i="15"/>
  <c r="A54" i="15"/>
  <c r="B76" i="13"/>
  <c r="A56" i="13"/>
  <c r="B69" i="13"/>
  <c r="A70" i="13"/>
  <c r="B70" i="13"/>
  <c r="B31" i="13"/>
  <c r="A32" i="13"/>
  <c r="A96" i="13"/>
  <c r="A97" i="13"/>
  <c r="B95" i="13"/>
  <c r="B18" i="13"/>
  <c r="B79" i="13"/>
  <c r="A44" i="13"/>
  <c r="B43" i="13"/>
  <c r="B97" i="13"/>
  <c r="A98" i="13"/>
  <c r="B62" i="13"/>
  <c r="B20" i="12"/>
  <c r="A21" i="12"/>
  <c r="A49" i="12"/>
  <c r="B49" i="12"/>
  <c r="L17" i="12"/>
  <c r="B48" i="12"/>
  <c r="B28" i="14"/>
  <c r="A61" i="14"/>
  <c r="B61" i="14"/>
  <c r="B60" i="14"/>
  <c r="A55" i="15"/>
  <c r="B55" i="15"/>
  <c r="B54" i="15"/>
  <c r="B11" i="10"/>
  <c r="H24" i="10" a="1"/>
  <c r="H24" i="10"/>
  <c r="B39" i="15"/>
  <c r="A40" i="15"/>
  <c r="A11" i="14"/>
  <c r="B10" i="14"/>
  <c r="A63" i="15"/>
  <c r="B62" i="15"/>
  <c r="B48" i="14"/>
  <c r="B9" i="12"/>
  <c r="A10" i="12"/>
  <c r="B57" i="12"/>
  <c r="A58" i="12"/>
  <c r="A33" i="15"/>
  <c r="B32" i="15"/>
  <c r="B46" i="15"/>
  <c r="A57" i="13"/>
  <c r="B57" i="13"/>
  <c r="B56" i="13"/>
  <c r="B32" i="13"/>
  <c r="A33" i="13"/>
  <c r="B96" i="13"/>
  <c r="B19" i="13"/>
  <c r="B44" i="13"/>
  <c r="A45" i="13"/>
  <c r="A50" i="14"/>
  <c r="B10" i="12"/>
  <c r="A11" i="12"/>
  <c r="B11" i="12"/>
  <c r="A12" i="14"/>
  <c r="B11" i="14"/>
  <c r="B21" i="12"/>
  <c r="A22" i="12"/>
  <c r="B47" i="15"/>
  <c r="A59" i="12"/>
  <c r="B58" i="12"/>
  <c r="B33" i="15"/>
  <c r="A64" i="15"/>
  <c r="B63" i="15"/>
  <c r="A41" i="15"/>
  <c r="B40" i="15"/>
  <c r="B29" i="14"/>
  <c r="A34" i="13"/>
  <c r="B34" i="13"/>
  <c r="B33" i="13"/>
  <c r="A99" i="13"/>
  <c r="A100" i="13"/>
  <c r="A101" i="13"/>
  <c r="A102" i="13"/>
  <c r="A103" i="13"/>
  <c r="B98" i="13"/>
  <c r="B20" i="13"/>
  <c r="A85" i="13"/>
  <c r="B84" i="13"/>
  <c r="B81" i="13"/>
  <c r="L13" i="15"/>
  <c r="A46" i="13"/>
  <c r="B45" i="13"/>
  <c r="B103" i="13"/>
  <c r="A104" i="13"/>
  <c r="B102" i="13"/>
  <c r="B101" i="13"/>
  <c r="B100" i="13"/>
  <c r="A23" i="12"/>
  <c r="B23" i="12"/>
  <c r="B22" i="12"/>
  <c r="A65" i="15"/>
  <c r="B64" i="15"/>
  <c r="A60" i="12"/>
  <c r="B59" i="12"/>
  <c r="B50" i="14"/>
  <c r="A51" i="14"/>
  <c r="B51" i="14"/>
  <c r="B41" i="15"/>
  <c r="A42" i="15"/>
  <c r="A13" i="14"/>
  <c r="B12" i="14"/>
  <c r="B99" i="13"/>
  <c r="B21" i="13"/>
  <c r="B82" i="13"/>
  <c r="A86" i="13"/>
  <c r="B85" i="13"/>
  <c r="B46" i="13"/>
  <c r="A47" i="13"/>
  <c r="A105" i="13"/>
  <c r="A106" i="13"/>
  <c r="B104" i="13"/>
  <c r="A14" i="14"/>
  <c r="B13" i="14"/>
  <c r="B65" i="15"/>
  <c r="A66" i="15"/>
  <c r="B42" i="15"/>
  <c r="A61" i="12"/>
  <c r="B60" i="12"/>
  <c r="A87" i="13"/>
  <c r="B86" i="13"/>
  <c r="B47" i="13"/>
  <c r="A48" i="13"/>
  <c r="B106" i="13"/>
  <c r="A107" i="13"/>
  <c r="B105" i="13"/>
  <c r="B66" i="15"/>
  <c r="A67" i="15"/>
  <c r="A62" i="12"/>
  <c r="B61" i="12"/>
  <c r="A15" i="14"/>
  <c r="B14" i="14"/>
  <c r="A88" i="13"/>
  <c r="B88" i="13"/>
  <c r="B87" i="13"/>
  <c r="B48" i="13"/>
  <c r="A49" i="13"/>
  <c r="B107" i="13"/>
  <c r="A108" i="13"/>
  <c r="A109" i="13"/>
  <c r="B15" i="14"/>
  <c r="A16" i="14"/>
  <c r="A63" i="12"/>
  <c r="B62" i="12"/>
  <c r="B67" i="15"/>
  <c r="A68" i="15"/>
  <c r="B49" i="13"/>
  <c r="A50" i="13"/>
  <c r="B50" i="13"/>
  <c r="B109" i="13"/>
  <c r="A110" i="13"/>
  <c r="B108" i="13"/>
  <c r="B63" i="12"/>
  <c r="A64" i="12"/>
  <c r="B68" i="15"/>
  <c r="A69" i="15"/>
  <c r="B16" i="14"/>
  <c r="A17" i="14"/>
  <c r="A111" i="13"/>
  <c r="B110" i="13"/>
  <c r="A70" i="15"/>
  <c r="B69" i="15"/>
  <c r="B17" i="14"/>
  <c r="A18" i="14"/>
  <c r="B64" i="12"/>
  <c r="H79" i="12" a="1"/>
  <c r="H79" i="12"/>
  <c r="A112" i="13"/>
  <c r="B111" i="13"/>
  <c r="B18" i="14"/>
  <c r="A19" i="14"/>
  <c r="B70" i="15"/>
  <c r="H78" i="15" a="1"/>
  <c r="H78" i="15"/>
  <c r="B112" i="13"/>
  <c r="A113" i="13"/>
  <c r="B19" i="14"/>
  <c r="B22" i="13"/>
  <c r="B113" i="13"/>
  <c r="A114" i="13"/>
  <c r="B114" i="13"/>
  <c r="A115" i="13"/>
  <c r="A116" i="13"/>
  <c r="B115" i="13"/>
  <c r="B116" i="13"/>
  <c r="A117" i="13"/>
  <c r="H125" i="13" a="1"/>
  <c r="H125" i="13"/>
  <c r="A118" i="13"/>
  <c r="B118" i="13"/>
  <c r="B117" i="13"/>
  <c r="B25" i="14"/>
  <c r="H81" i="14" a="1"/>
  <c r="H81" i="14"/>
  <c r="D23" i="14"/>
  <c r="D38" i="13"/>
  <c r="C38" i="13"/>
  <c r="C11" i="15"/>
  <c r="D24" i="14"/>
  <c r="D22" i="14"/>
  <c r="C15" i="13"/>
  <c r="C13" i="13"/>
  <c r="C36" i="15"/>
  <c r="D82" i="13"/>
  <c r="C81" i="13"/>
  <c r="C79" i="13"/>
  <c r="D8" i="15"/>
  <c r="C10" i="15"/>
  <c r="C21" i="14"/>
  <c r="C11" i="13"/>
  <c r="D37" i="13"/>
  <c r="D13" i="10"/>
  <c r="D46" i="13"/>
  <c r="D45" i="13"/>
  <c r="C47" i="13"/>
  <c r="C46" i="13"/>
  <c r="C23" i="13"/>
  <c r="C21" i="13"/>
  <c r="C102" i="13"/>
  <c r="C94" i="13"/>
  <c r="C109" i="13"/>
  <c r="C62" i="13"/>
  <c r="C84" i="13"/>
  <c r="D74" i="13"/>
  <c r="D77" i="13"/>
  <c r="C77" i="13"/>
  <c r="D86" i="13"/>
  <c r="D75" i="13"/>
  <c r="C29" i="12"/>
  <c r="C36" i="12"/>
  <c r="D19" i="12"/>
  <c r="C64" i="12"/>
  <c r="D29" i="12"/>
  <c r="D23" i="12"/>
  <c r="C59" i="12"/>
  <c r="D67" i="12"/>
  <c r="C10" i="10"/>
  <c r="D63" i="15"/>
  <c r="C27" i="15"/>
  <c r="C67" i="15"/>
  <c r="C71" i="15"/>
  <c r="C70" i="15"/>
  <c r="D29" i="15"/>
  <c r="D71" i="15"/>
  <c r="C11" i="14"/>
  <c r="D18" i="14"/>
  <c r="D49" i="14"/>
  <c r="C28" i="14"/>
  <c r="C19" i="14"/>
  <c r="D10" i="14"/>
  <c r="C9" i="14"/>
  <c r="D37" i="14"/>
  <c r="D14" i="12"/>
  <c r="C32" i="12"/>
  <c r="C46" i="12"/>
  <c r="D41" i="12"/>
  <c r="C71" i="12"/>
  <c r="C68" i="12"/>
  <c r="D43" i="12"/>
  <c r="D24" i="12"/>
  <c r="D11" i="10"/>
  <c r="D62" i="15"/>
  <c r="C21" i="15"/>
  <c r="C15" i="15"/>
  <c r="D57" i="15"/>
  <c r="D38" i="15"/>
  <c r="C28" i="15"/>
  <c r="D5" i="15"/>
  <c r="D23" i="15"/>
  <c r="D12" i="14"/>
  <c r="C26" i="14"/>
  <c r="C46" i="14"/>
  <c r="C70" i="14"/>
  <c r="C48" i="14"/>
  <c r="D26" i="14"/>
  <c r="D59" i="14"/>
  <c r="C30" i="12"/>
  <c r="D35" i="12"/>
  <c r="C31" i="12"/>
  <c r="D71" i="12"/>
  <c r="C6" i="10"/>
  <c r="D69" i="15"/>
  <c r="C5" i="15"/>
  <c r="C14" i="15"/>
  <c r="C46" i="15"/>
  <c r="C54" i="14"/>
  <c r="D56" i="14"/>
  <c r="D32" i="14"/>
  <c r="D57" i="12"/>
  <c r="D22" i="12"/>
  <c r="D20" i="12"/>
  <c r="C9" i="12"/>
  <c r="D6" i="10"/>
  <c r="D54" i="15"/>
  <c r="C45" i="15"/>
  <c r="D33" i="15"/>
  <c r="C66" i="14"/>
  <c r="C72" i="14"/>
  <c r="C34" i="14"/>
  <c r="C45" i="14"/>
  <c r="D63" i="12"/>
  <c r="D53" i="12"/>
  <c r="D60" i="12"/>
  <c r="C54" i="12"/>
  <c r="C8" i="10"/>
  <c r="D44" i="15"/>
  <c r="C7" i="15"/>
  <c r="D55" i="15"/>
  <c r="D42" i="14"/>
  <c r="C14" i="14"/>
  <c r="D53" i="14"/>
  <c r="D14" i="14"/>
  <c r="C55" i="12"/>
  <c r="C40" i="12"/>
  <c r="D5" i="10"/>
  <c r="D56" i="15"/>
  <c r="D7" i="14"/>
  <c r="D11" i="14"/>
  <c r="C16" i="15"/>
  <c r="C47" i="12"/>
  <c r="C23" i="14"/>
  <c r="C22" i="14"/>
  <c r="D15" i="13"/>
  <c r="D15" i="10"/>
  <c r="C35" i="14"/>
  <c r="D83" i="13"/>
  <c r="D79" i="13"/>
  <c r="D78" i="13"/>
  <c r="C9" i="15"/>
  <c r="C36" i="13"/>
  <c r="D35" i="13"/>
  <c r="C13" i="10"/>
  <c r="D42" i="13"/>
  <c r="C48" i="13"/>
  <c r="C45" i="13"/>
  <c r="C13" i="15"/>
  <c r="C108" i="13"/>
  <c r="C6" i="13"/>
  <c r="C110" i="13"/>
  <c r="C115" i="13"/>
  <c r="C88" i="13"/>
  <c r="C72" i="13"/>
  <c r="C87" i="13"/>
  <c r="D76" i="13"/>
  <c r="C44" i="12"/>
  <c r="C23" i="12"/>
  <c r="C48" i="12"/>
  <c r="D47" i="12"/>
  <c r="D51" i="12"/>
  <c r="D18" i="12"/>
  <c r="C16" i="10"/>
  <c r="D61" i="15"/>
  <c r="D22" i="15"/>
  <c r="D46" i="15"/>
  <c r="D17" i="15"/>
  <c r="D7" i="15"/>
  <c r="C25" i="15"/>
  <c r="C53" i="14"/>
  <c r="C68" i="14"/>
  <c r="D27" i="14"/>
  <c r="D57" i="14"/>
  <c r="C73" i="14"/>
  <c r="D50" i="12"/>
  <c r="D33" i="12"/>
  <c r="C38" i="12"/>
  <c r="D70" i="12"/>
  <c r="D55" i="12"/>
  <c r="C61" i="12"/>
  <c r="D12" i="10"/>
  <c r="D64" i="15"/>
  <c r="C60" i="15"/>
  <c r="C17" i="15"/>
  <c r="C51" i="15"/>
  <c r="C39" i="15"/>
  <c r="D14" i="15"/>
  <c r="D16" i="14"/>
  <c r="C40" i="14"/>
  <c r="C31" i="14"/>
  <c r="D65" i="14"/>
  <c r="D61" i="14"/>
  <c r="C14" i="12"/>
  <c r="C57" i="12"/>
  <c r="C65" i="12"/>
  <c r="C9" i="10"/>
  <c r="D66" i="15"/>
  <c r="C52" i="15"/>
  <c r="D43" i="15"/>
  <c r="D72" i="14"/>
  <c r="C16" i="14"/>
  <c r="C37" i="14"/>
  <c r="C22" i="12"/>
  <c r="D56" i="12"/>
  <c r="D5" i="12"/>
  <c r="C33" i="15"/>
  <c r="D53" i="15"/>
  <c r="C32" i="15"/>
  <c r="C18" i="14"/>
  <c r="D70" i="14"/>
  <c r="C63" i="12"/>
  <c r="C56" i="12"/>
  <c r="D25" i="12"/>
  <c r="D9" i="10"/>
  <c r="D52" i="15"/>
  <c r="C23" i="15"/>
  <c r="C13" i="14"/>
  <c r="C62" i="14"/>
  <c r="C10" i="14"/>
  <c r="C58" i="12"/>
  <c r="D12" i="12"/>
  <c r="D65" i="15"/>
  <c r="D62" i="14"/>
  <c r="D67" i="14"/>
  <c r="D33" i="14"/>
  <c r="C38" i="15"/>
  <c r="C61" i="14"/>
  <c r="D28" i="12"/>
  <c r="D36" i="14"/>
  <c r="D28" i="15"/>
  <c r="D20" i="13"/>
  <c r="D8" i="13"/>
  <c r="D51" i="13"/>
  <c r="C33" i="13"/>
  <c r="D98" i="13"/>
  <c r="D26" i="13"/>
  <c r="C10" i="13"/>
  <c r="D117" i="13"/>
  <c r="D34" i="13"/>
  <c r="D32" i="13"/>
  <c r="C39" i="13"/>
  <c r="D41" i="13"/>
  <c r="D60" i="13"/>
  <c r="C91" i="13"/>
  <c r="D90" i="13"/>
  <c r="C67" i="13"/>
  <c r="C52" i="13"/>
  <c r="D9" i="13"/>
  <c r="C90" i="13"/>
  <c r="D110" i="13"/>
  <c r="C69" i="13"/>
  <c r="C56" i="13"/>
  <c r="C7" i="13"/>
  <c r="C92" i="13"/>
  <c r="C31" i="13"/>
  <c r="C40" i="13"/>
  <c r="C24" i="14"/>
  <c r="D14" i="13"/>
  <c r="C15" i="10"/>
  <c r="C83" i="13"/>
  <c r="D80" i="13"/>
  <c r="D10" i="15"/>
  <c r="C8" i="15"/>
  <c r="C35" i="13"/>
  <c r="D36" i="13"/>
  <c r="C14" i="10"/>
  <c r="D43" i="13"/>
  <c r="C43" i="13"/>
  <c r="C49" i="13"/>
  <c r="D23" i="13"/>
  <c r="C97" i="13"/>
  <c r="D24" i="13"/>
  <c r="C106" i="13"/>
  <c r="C61" i="13"/>
  <c r="C76" i="13"/>
  <c r="C86" i="13"/>
  <c r="C85" i="13"/>
  <c r="D73" i="13"/>
  <c r="C16" i="12"/>
  <c r="C53" i="12"/>
  <c r="D15" i="12"/>
  <c r="C26" i="12"/>
  <c r="C8" i="12"/>
  <c r="C66" i="12"/>
  <c r="C17" i="10"/>
  <c r="C40" i="15"/>
  <c r="D60" i="15"/>
  <c r="C65" i="15"/>
  <c r="C34" i="15"/>
  <c r="C63" i="15"/>
  <c r="C49" i="14"/>
  <c r="D55" i="14"/>
  <c r="C74" i="14"/>
  <c r="D30" i="14"/>
  <c r="C47" i="14"/>
  <c r="D41" i="14"/>
  <c r="C5" i="12"/>
  <c r="C37" i="12"/>
  <c r="D9" i="12"/>
  <c r="D27" i="12"/>
  <c r="D39" i="12"/>
  <c r="C43" i="12"/>
  <c r="C5" i="10"/>
  <c r="C50" i="15"/>
  <c r="C61" i="15"/>
  <c r="C31" i="15"/>
  <c r="C58" i="15"/>
  <c r="D70" i="15"/>
  <c r="C50" i="14"/>
  <c r="D69" i="14"/>
  <c r="D6" i="14"/>
  <c r="D50" i="14"/>
  <c r="D5" i="14"/>
  <c r="D71" i="14"/>
  <c r="C27" i="12"/>
  <c r="C39" i="12"/>
  <c r="D40" i="12"/>
  <c r="D7" i="10"/>
  <c r="C43" i="15"/>
  <c r="C57" i="15"/>
  <c r="D52" i="14"/>
  <c r="C59" i="14"/>
  <c r="C33" i="14"/>
  <c r="C21" i="12"/>
  <c r="D68" i="12"/>
  <c r="C18" i="12"/>
  <c r="D51" i="15"/>
  <c r="C44" i="15"/>
  <c r="C18" i="15"/>
  <c r="C64" i="14"/>
  <c r="C42" i="14"/>
  <c r="D66" i="14"/>
  <c r="C49" i="12"/>
  <c r="C69" i="12"/>
  <c r="C20" i="12"/>
  <c r="D12" i="15"/>
  <c r="C20" i="15"/>
  <c r="C56" i="15"/>
  <c r="C67" i="14"/>
  <c r="C60" i="14"/>
  <c r="D40" i="14"/>
  <c r="C7" i="12"/>
  <c r="C25" i="12"/>
  <c r="C53" i="15"/>
  <c r="D49" i="12"/>
  <c r="D6" i="12"/>
  <c r="C41" i="14"/>
  <c r="D68" i="15"/>
  <c r="C51" i="14"/>
  <c r="D18" i="15"/>
  <c r="D32" i="12"/>
  <c r="C58" i="14"/>
  <c r="D116" i="13"/>
  <c r="D58" i="13"/>
  <c r="C64" i="13"/>
  <c r="D70" i="13"/>
  <c r="C111" i="13"/>
  <c r="C55" i="13"/>
  <c r="D19" i="13"/>
  <c r="C93" i="13"/>
  <c r="D99" i="13"/>
  <c r="C66" i="13"/>
  <c r="D7" i="13"/>
  <c r="D40" i="13"/>
  <c r="C89" i="13"/>
  <c r="C28" i="13"/>
  <c r="C26" i="13"/>
  <c r="D59" i="13"/>
  <c r="C17" i="13"/>
  <c r="D91" i="13"/>
  <c r="C8" i="13"/>
  <c r="D68" i="13"/>
  <c r="C41" i="13"/>
  <c r="D28" i="13"/>
  <c r="C29" i="13"/>
  <c r="C19" i="13"/>
  <c r="D10" i="13"/>
  <c r="C114" i="13"/>
  <c r="C16" i="13"/>
  <c r="C44" i="14"/>
  <c r="C82" i="13"/>
  <c r="D20" i="14"/>
  <c r="C12" i="13"/>
  <c r="C50" i="13"/>
  <c r="C104" i="13"/>
  <c r="C103" i="13"/>
  <c r="C100" i="13"/>
  <c r="C71" i="13"/>
  <c r="C73" i="13"/>
  <c r="D54" i="12"/>
  <c r="D11" i="12"/>
  <c r="D69" i="12"/>
  <c r="D17" i="10"/>
  <c r="D42" i="15"/>
  <c r="C68" i="15"/>
  <c r="D19" i="15"/>
  <c r="C32" i="14"/>
  <c r="C63" i="14"/>
  <c r="C12" i="12"/>
  <c r="D37" i="12"/>
  <c r="D52" i="12"/>
  <c r="C13" i="12"/>
  <c r="D16" i="15"/>
  <c r="D26" i="15"/>
  <c r="D41" i="15"/>
  <c r="C17" i="14"/>
  <c r="D31" i="14"/>
  <c r="C12" i="14"/>
  <c r="C52" i="12"/>
  <c r="C59" i="15"/>
  <c r="C49" i="15"/>
  <c r="C29" i="14"/>
  <c r="D72" i="12"/>
  <c r="D31" i="12"/>
  <c r="C66" i="15"/>
  <c r="C36" i="14"/>
  <c r="C51" i="12"/>
  <c r="D30" i="12"/>
  <c r="C12" i="15"/>
  <c r="C41" i="15"/>
  <c r="D47" i="14"/>
  <c r="C60" i="12"/>
  <c r="D34" i="14"/>
  <c r="C55" i="14"/>
  <c r="C19" i="15"/>
  <c r="D29" i="14"/>
  <c r="D92" i="13"/>
  <c r="C53" i="13"/>
  <c r="D25" i="13"/>
  <c r="D29" i="13"/>
  <c r="C5" i="13"/>
  <c r="D56" i="13"/>
  <c r="D64" i="13"/>
  <c r="C27" i="13"/>
  <c r="D69" i="13"/>
  <c r="D66" i="13"/>
  <c r="D22" i="13"/>
  <c r="D96" i="13"/>
  <c r="D95" i="13"/>
  <c r="D55" i="13"/>
  <c r="C14" i="13"/>
  <c r="D13" i="13"/>
  <c r="C20" i="14"/>
  <c r="C37" i="13"/>
  <c r="D49" i="13"/>
  <c r="C24" i="13"/>
  <c r="D72" i="13"/>
  <c r="D45" i="12"/>
  <c r="C42" i="15"/>
  <c r="D31" i="15"/>
  <c r="C57" i="14"/>
  <c r="D21" i="12"/>
  <c r="C62" i="12"/>
  <c r="D6" i="15"/>
  <c r="D54" i="14"/>
  <c r="D15" i="14"/>
  <c r="C42" i="12"/>
  <c r="D17" i="14"/>
  <c r="C15" i="12"/>
  <c r="D81" i="13"/>
  <c r="D9" i="15"/>
  <c r="D12" i="13"/>
  <c r="C42" i="13"/>
  <c r="D48" i="13"/>
  <c r="C101" i="13"/>
  <c r="C118" i="13"/>
  <c r="D87" i="13"/>
  <c r="D88" i="13"/>
  <c r="D84" i="13"/>
  <c r="C11" i="12"/>
  <c r="C45" i="12"/>
  <c r="D46" i="12"/>
  <c r="D37" i="15"/>
  <c r="C48" i="15"/>
  <c r="D20" i="15"/>
  <c r="C52" i="14"/>
  <c r="C39" i="14"/>
  <c r="D73" i="14"/>
  <c r="D34" i="12"/>
  <c r="D36" i="12"/>
  <c r="C6" i="12"/>
  <c r="C7" i="10"/>
  <c r="D24" i="15"/>
  <c r="C64" i="15"/>
  <c r="D38" i="14"/>
  <c r="D64" i="14"/>
  <c r="C15" i="14"/>
  <c r="C72" i="12"/>
  <c r="D62" i="12"/>
  <c r="C29" i="15"/>
  <c r="C69" i="14"/>
  <c r="C6" i="14"/>
  <c r="C28" i="12"/>
  <c r="D25" i="15"/>
  <c r="D27" i="15"/>
  <c r="C43" i="14"/>
  <c r="D13" i="12"/>
  <c r="C35" i="12"/>
  <c r="D40" i="15"/>
  <c r="D8" i="14"/>
  <c r="D63" i="14"/>
  <c r="C67" i="12"/>
  <c r="C12" i="10"/>
  <c r="D61" i="12"/>
  <c r="C65" i="14"/>
  <c r="D7" i="12"/>
  <c r="D114" i="13"/>
  <c r="C117" i="13"/>
  <c r="C96" i="13"/>
  <c r="D54" i="13"/>
  <c r="C95" i="13"/>
  <c r="C22" i="13"/>
  <c r="C20" i="13"/>
  <c r="C25" i="13"/>
  <c r="C60" i="13"/>
  <c r="D5" i="13"/>
  <c r="D21" i="13"/>
  <c r="D89" i="13"/>
  <c r="C30" i="13"/>
  <c r="C80" i="13"/>
  <c r="C44" i="13"/>
  <c r="C112" i="13"/>
  <c r="C75" i="13"/>
  <c r="D48" i="12"/>
  <c r="D59" i="12"/>
  <c r="D59" i="15"/>
  <c r="C5" i="14"/>
  <c r="D51" i="14"/>
  <c r="C17" i="12"/>
  <c r="C11" i="10"/>
  <c r="C69" i="15"/>
  <c r="C27" i="14"/>
  <c r="D65" i="12"/>
  <c r="C6" i="15"/>
  <c r="C7" i="14"/>
  <c r="D49" i="15"/>
  <c r="C78" i="13"/>
  <c r="C105" i="13"/>
  <c r="D64" i="12"/>
  <c r="C37" i="15"/>
  <c r="D9" i="14"/>
  <c r="C19" i="12"/>
  <c r="C38" i="14"/>
  <c r="D67" i="15"/>
  <c r="C34" i="12"/>
  <c r="D19" i="14"/>
  <c r="C33" i="12"/>
  <c r="C30" i="14"/>
  <c r="C54" i="15"/>
  <c r="D16" i="10"/>
  <c r="C62" i="15"/>
  <c r="D17" i="13"/>
  <c r="D27" i="13"/>
  <c r="C32" i="13"/>
  <c r="C54" i="13"/>
  <c r="C18" i="13"/>
  <c r="C34" i="13"/>
  <c r="D11" i="13"/>
  <c r="D14" i="10"/>
  <c r="C63" i="13"/>
  <c r="D71" i="13"/>
  <c r="D26" i="12"/>
  <c r="C41" i="12"/>
  <c r="D28" i="14"/>
  <c r="D47" i="15"/>
  <c r="D15" i="15"/>
  <c r="C22" i="15"/>
  <c r="C98" i="13"/>
  <c r="D57" i="13"/>
  <c r="C70" i="13"/>
  <c r="D111" i="13"/>
  <c r="D11" i="15"/>
  <c r="C25" i="14"/>
  <c r="D44" i="13"/>
  <c r="C50" i="12"/>
  <c r="C26" i="15"/>
  <c r="D38" i="12"/>
  <c r="D46" i="14"/>
  <c r="C24" i="12"/>
  <c r="C99" i="13"/>
  <c r="D93" i="13"/>
  <c r="C57" i="13"/>
  <c r="C35" i="15"/>
  <c r="C65" i="13"/>
  <c r="D21" i="14"/>
  <c r="C107" i="13"/>
  <c r="C74" i="13"/>
  <c r="C10" i="12"/>
  <c r="D58" i="15"/>
  <c r="C8" i="14"/>
  <c r="D50" i="15"/>
  <c r="C71" i="14"/>
  <c r="C55" i="15"/>
  <c r="C47" i="15"/>
  <c r="C56" i="14"/>
  <c r="D45" i="15"/>
  <c r="D43" i="14"/>
  <c r="D68" i="14"/>
  <c r="C24" i="15"/>
  <c r="C9" i="13"/>
  <c r="C116" i="13"/>
  <c r="D53" i="13"/>
  <c r="D18" i="13"/>
  <c r="D39" i="13"/>
  <c r="D67" i="13"/>
  <c r="D113" i="13"/>
  <c r="D85" i="13"/>
  <c r="D21" i="15"/>
  <c r="D34" i="15"/>
  <c r="D48" i="14"/>
  <c r="C70" i="12"/>
  <c r="D39" i="14"/>
  <c r="D74" i="14"/>
  <c r="C51" i="13"/>
  <c r="C59" i="13"/>
  <c r="C113" i="13"/>
  <c r="D13" i="14"/>
  <c r="D58" i="12"/>
  <c r="D66" i="12"/>
  <c r="C30" i="15"/>
  <c r="C68" i="13"/>
  <c r="D30" i="13"/>
  <c r="D42" i="12"/>
  <c r="D39" i="15"/>
  <c r="D48" i="15"/>
  <c r="D52" i="13"/>
  <c r="C58" i="13"/>
  <c r="L70" i="14" l="1"/>
  <c r="L98" i="13"/>
  <c r="L25" i="15"/>
  <c r="L33" i="13"/>
  <c r="L17" i="13"/>
  <c r="L31" i="13"/>
  <c r="L61" i="15"/>
  <c r="L18" i="12"/>
  <c r="L104" i="13"/>
  <c r="L6" i="14"/>
  <c r="L26" i="14"/>
  <c r="L10" i="10"/>
  <c r="L29" i="13"/>
  <c r="L59" i="13"/>
  <c r="L19" i="13"/>
  <c r="L21" i="13"/>
  <c r="L95" i="13"/>
  <c r="L116" i="13"/>
  <c r="L66" i="12"/>
  <c r="L28" i="15"/>
  <c r="L71" i="12"/>
  <c r="L14" i="14"/>
  <c r="L63" i="15"/>
  <c r="L6" i="10"/>
  <c r="L38" i="14"/>
  <c r="L10" i="12"/>
  <c r="L41" i="12"/>
  <c r="L61" i="12"/>
  <c r="L56" i="14"/>
  <c r="L41" i="15"/>
  <c r="L23" i="13"/>
  <c r="L36" i="13"/>
  <c r="L26" i="13"/>
  <c r="L52" i="13"/>
  <c r="L59" i="12"/>
  <c r="L65" i="15"/>
  <c r="L51" i="12"/>
  <c r="L16" i="14"/>
  <c r="L67" i="15"/>
  <c r="L72" i="13"/>
  <c r="L81" i="13"/>
  <c r="L113" i="13"/>
  <c r="L40" i="13"/>
  <c r="L7" i="13"/>
  <c r="L92" i="13"/>
  <c r="L110" i="13"/>
  <c r="L50" i="14"/>
  <c r="L6" i="12"/>
  <c r="L19" i="15"/>
  <c r="L68" i="12"/>
  <c r="L41" i="14"/>
  <c r="L63" i="14"/>
  <c r="L20" i="12"/>
  <c r="L32" i="14"/>
  <c r="L58" i="14"/>
  <c r="L38" i="12"/>
  <c r="L57" i="15"/>
  <c r="L30" i="15"/>
  <c r="L46" i="14"/>
  <c r="L73" i="14"/>
  <c r="L48" i="14"/>
  <c r="L39" i="15"/>
  <c r="L16" i="10"/>
  <c r="L25" i="12"/>
  <c r="L84" i="13"/>
  <c r="L75" i="13"/>
  <c r="L48" i="13"/>
  <c r="L42" i="13"/>
  <c r="L13" i="10"/>
  <c r="L66" i="13"/>
  <c r="L90" i="13"/>
  <c r="L9" i="13"/>
  <c r="L60" i="14"/>
  <c r="L37" i="15"/>
  <c r="L57" i="12"/>
  <c r="L12" i="14"/>
  <c r="L22" i="15"/>
  <c r="L55" i="12"/>
  <c r="L32" i="15"/>
  <c r="L36" i="14"/>
  <c r="L8" i="10"/>
  <c r="L13" i="12"/>
  <c r="L50" i="15"/>
  <c r="L16" i="15"/>
  <c r="L59" i="15"/>
  <c r="L22" i="12"/>
  <c r="L87" i="13"/>
  <c r="L107" i="13"/>
  <c r="L21" i="14"/>
  <c r="L6" i="15"/>
  <c r="L53" i="12"/>
  <c r="L44" i="15"/>
  <c r="L8" i="12"/>
  <c r="L53" i="14"/>
  <c r="L14" i="15"/>
  <c r="L45" i="12"/>
  <c r="L8" i="14"/>
  <c r="L18" i="14"/>
  <c r="L10" i="14"/>
  <c r="L69" i="15"/>
  <c r="L63" i="12"/>
  <c r="L35" i="12"/>
  <c r="L28" i="12"/>
  <c r="L101" i="13"/>
  <c r="L45" i="13"/>
  <c r="L9" i="15"/>
  <c r="L78" i="13"/>
  <c r="L12" i="13"/>
</calcChain>
</file>

<file path=xl/sharedStrings.xml><?xml version="1.0" encoding="utf-8"?>
<sst xmlns="http://schemas.openxmlformats.org/spreadsheetml/2006/main" count="2640" uniqueCount="621">
  <si>
    <t>Handle</t>
  </si>
  <si>
    <t>      </t>
  </si>
  <si>
    <t>Device Name</t>
  </si>
  <si>
    <t>Characteristic Format</t>
  </si>
  <si>
    <t>Characteristic User Description</t>
  </si>
  <si>
    <t>Aggregate Format</t>
  </si>
  <si>
    <t>Comment</t>
  </si>
  <si>
    <t>#</t>
  </si>
  <si>
    <t>16-bit UUID</t>
  </si>
  <si>
    <t>128-bit UUID</t>
  </si>
  <si>
    <t>Common</t>
  </si>
  <si>
    <t>Profile</t>
  </si>
  <si>
    <t>BT Base UUID</t>
  </si>
  <si>
    <t>00001000800000805F9B34FB</t>
  </si>
  <si>
    <t>0000</t>
  </si>
  <si>
    <t>complete</t>
  </si>
  <si>
    <t>BT base UUID[127:112]</t>
  </si>
  <si>
    <t>BT base UUID[95:0]</t>
  </si>
  <si>
    <t>Attribute Type</t>
  </si>
  <si>
    <t>Attribute Profile</t>
  </si>
  <si>
    <t>Generic Access Profile</t>
  </si>
  <si>
    <t>Permissions</t>
  </si>
  <si>
    <t>Y</t>
  </si>
  <si>
    <t>N</t>
  </si>
  <si>
    <t>A</t>
  </si>
  <si>
    <t>RD</t>
  </si>
  <si>
    <t>WR</t>
  </si>
  <si>
    <t>Initial Parameter Value</t>
  </si>
  <si>
    <t>Attribute does not allow operation</t>
  </si>
  <si>
    <t>Service Changed</t>
  </si>
  <si>
    <t>V</t>
  </si>
  <si>
    <t>IND/
NOT</t>
  </si>
  <si>
    <t>Characteristic</t>
  </si>
  <si>
    <t>Notes</t>
  </si>
  <si>
    <t>heart rate</t>
  </si>
  <si>
    <t>cadence</t>
  </si>
  <si>
    <t>latitude</t>
  </si>
  <si>
    <t>longitude</t>
  </si>
  <si>
    <t>relative humidity</t>
  </si>
  <si>
    <t>body mass index</t>
  </si>
  <si>
    <t>body fat</t>
  </si>
  <si>
    <t>inside</t>
  </si>
  <si>
    <t>outside</t>
  </si>
  <si>
    <t>hanging</t>
  </si>
  <si>
    <t>battery</t>
  </si>
  <si>
    <t>power supply</t>
  </si>
  <si>
    <t>current</t>
  </si>
  <si>
    <t>target</t>
  </si>
  <si>
    <t>light state</t>
  </si>
  <si>
    <t>applicance power</t>
  </si>
  <si>
    <t>fractional power</t>
  </si>
  <si>
    <t>length</t>
  </si>
  <si>
    <t>elevation</t>
  </si>
  <si>
    <t>used with Unit beats per minute</t>
  </si>
  <si>
    <t>used with Unit revolution per minute</t>
  </si>
  <si>
    <t>used with Unit degree</t>
  </si>
  <si>
    <t>used with Unit percent</t>
  </si>
  <si>
    <t>used with Unit surface density</t>
  </si>
  <si>
    <t>the value is inside a building</t>
  </si>
  <si>
    <t>the value is outside a building</t>
  </si>
  <si>
    <t>used with Unit mass kilogram</t>
  </si>
  <si>
    <t>the value is associated with a battery</t>
  </si>
  <si>
    <t>the value is associated with a power supply</t>
  </si>
  <si>
    <t>the value is the current value</t>
  </si>
  <si>
    <t>the value is the target value</t>
  </si>
  <si>
    <t>false = off, true = on</t>
  </si>
  <si>
    <t>used with Unit range nibble, range octet, range word</t>
  </si>
  <si>
    <t>used with Unit meter</t>
  </si>
  <si>
    <t>310A</t>
  </si>
  <si>
    <t>310B</t>
  </si>
  <si>
    <t>310C</t>
  </si>
  <si>
    <t>310D</t>
  </si>
  <si>
    <t>310E</t>
  </si>
  <si>
    <t>310F</t>
  </si>
  <si>
    <t>UUID Name</t>
  </si>
  <si>
    <t>Characteristic Unit</t>
  </si>
  <si>
    <t>unitless</t>
  </si>
  <si>
    <t>length meter</t>
  </si>
  <si>
    <t>mass kilogram</t>
  </si>
  <si>
    <t>time second</t>
  </si>
  <si>
    <t>electric current Ampere</t>
  </si>
  <si>
    <t>thermodynamic temperature Kelvin</t>
  </si>
  <si>
    <t>amount Of substance mole</t>
  </si>
  <si>
    <t>luminous intensity candela</t>
  </si>
  <si>
    <t>plane angle radian</t>
  </si>
  <si>
    <t>solid angle steradian</t>
  </si>
  <si>
    <t>frequency hertz</t>
  </si>
  <si>
    <t>force newton</t>
  </si>
  <si>
    <t>pressure pascal</t>
  </si>
  <si>
    <t>energy joule</t>
  </si>
  <si>
    <t>power watt</t>
  </si>
  <si>
    <t>electric charge coulomb</t>
  </si>
  <si>
    <t>electric potential difference volt</t>
  </si>
  <si>
    <t>capacitance farad</t>
  </si>
  <si>
    <t>electric resistance ohm</t>
  </si>
  <si>
    <t>electric conductance siemens</t>
  </si>
  <si>
    <t>magnetic flux weber</t>
  </si>
  <si>
    <t>magnetic flux density tesla</t>
  </si>
  <si>
    <t>inductance henry</t>
  </si>
  <si>
    <t>Celsius temperature</t>
  </si>
  <si>
    <t>luminous flux lumen</t>
  </si>
  <si>
    <t>illuminance lux</t>
  </si>
  <si>
    <t>radioactivity becquerel</t>
  </si>
  <si>
    <t>absorbed dose gray</t>
  </si>
  <si>
    <t>does equivalent sievert</t>
  </si>
  <si>
    <t>catalytic activity katal</t>
  </si>
  <si>
    <t>current density</t>
  </si>
  <si>
    <t>magnetic field strength</t>
  </si>
  <si>
    <t>concentration</t>
  </si>
  <si>
    <t>luminance</t>
  </si>
  <si>
    <t>area square meters</t>
  </si>
  <si>
    <t>volume cubic meters</t>
  </si>
  <si>
    <t>area hectare</t>
  </si>
  <si>
    <t>volume liter</t>
  </si>
  <si>
    <t>velocity meter per second</t>
  </si>
  <si>
    <t xml:space="preserve">acceleration meter </t>
  </si>
  <si>
    <t>wavenumber</t>
  </si>
  <si>
    <t>barn</t>
  </si>
  <si>
    <t>angular velcoity</t>
  </si>
  <si>
    <t>angular acceleration</t>
  </si>
  <si>
    <t>density</t>
  </si>
  <si>
    <t>surface density</t>
  </si>
  <si>
    <t>specific volume</t>
  </si>
  <si>
    <t>metric ton</t>
  </si>
  <si>
    <t>minute</t>
  </si>
  <si>
    <t>hour</t>
  </si>
  <si>
    <t>day</t>
  </si>
  <si>
    <t>degree</t>
  </si>
  <si>
    <t>nautical mile</t>
  </si>
  <si>
    <t>knot</t>
  </si>
  <si>
    <t>yard</t>
  </si>
  <si>
    <t>parsec</t>
  </si>
  <si>
    <t>inch</t>
  </si>
  <si>
    <t>foot</t>
  </si>
  <si>
    <t>mile</t>
  </si>
  <si>
    <t>pound</t>
  </si>
  <si>
    <t>electronvolt</t>
  </si>
  <si>
    <t>unified atomic mass unit dalton</t>
  </si>
  <si>
    <t>astronomical unit</t>
  </si>
  <si>
    <t>speed of light</t>
  </si>
  <si>
    <t>Planck constant</t>
  </si>
  <si>
    <t>pressure millimeter of mercury</t>
  </si>
  <si>
    <t>pressure bar</t>
  </si>
  <si>
    <t>atmosphere</t>
  </si>
  <si>
    <t>pound-force per square inch</t>
  </si>
  <si>
    <t>kilometer per hour</t>
  </si>
  <si>
    <t>mile per hour</t>
  </si>
  <si>
    <t>revolution per minute</t>
  </si>
  <si>
    <t>calorie</t>
  </si>
  <si>
    <t>kilowatt hour</t>
  </si>
  <si>
    <t>acceleration of free fall</t>
  </si>
  <si>
    <t>temperature fahrenheit</t>
  </si>
  <si>
    <t>percentage</t>
  </si>
  <si>
    <t>permille</t>
  </si>
  <si>
    <t>state binary</t>
  </si>
  <si>
    <t>state teriatry</t>
  </si>
  <si>
    <t>range nibble</t>
  </si>
  <si>
    <t>range octet</t>
  </si>
  <si>
    <t>range word</t>
  </si>
  <si>
    <t>beats per minute</t>
  </si>
  <si>
    <t>interval</t>
  </si>
  <si>
    <t>capacity amp hours</t>
  </si>
  <si>
    <t>decibel</t>
  </si>
  <si>
    <t>power ratio decibels measured</t>
  </si>
  <si>
    <t>m</t>
  </si>
  <si>
    <t>kg</t>
  </si>
  <si>
    <t>s</t>
  </si>
  <si>
    <t>K</t>
  </si>
  <si>
    <t>mol</t>
  </si>
  <si>
    <t>cd</t>
  </si>
  <si>
    <t>rad</t>
  </si>
  <si>
    <t>sr</t>
  </si>
  <si>
    <t>Hz</t>
  </si>
  <si>
    <t>Pa</t>
  </si>
  <si>
    <t>J</t>
  </si>
  <si>
    <t>W</t>
  </si>
  <si>
    <t>C</t>
  </si>
  <si>
    <t>F</t>
  </si>
  <si>
    <t>Ω</t>
  </si>
  <si>
    <t>S</t>
  </si>
  <si>
    <t>Wb</t>
  </si>
  <si>
    <t>T</t>
  </si>
  <si>
    <t>H</t>
  </si>
  <si>
    <t>lm</t>
  </si>
  <si>
    <t>lx</t>
  </si>
  <si>
    <t>Bq</t>
  </si>
  <si>
    <t>Gy</t>
  </si>
  <si>
    <t>Sv</t>
  </si>
  <si>
    <t>kat</t>
  </si>
  <si>
    <t>j</t>
  </si>
  <si>
    <t>c</t>
  </si>
  <si>
    <t>ha</t>
  </si>
  <si>
    <t>l</t>
  </si>
  <si>
    <t>m/s</t>
  </si>
  <si>
    <t>σ</t>
  </si>
  <si>
    <t>b</t>
  </si>
  <si>
    <t>rad/s</t>
  </si>
  <si>
    <t>ρ</t>
  </si>
  <si>
    <t>ρA</t>
  </si>
  <si>
    <t>v</t>
  </si>
  <si>
    <t>t</t>
  </si>
  <si>
    <t>min</t>
  </si>
  <si>
    <t>h</t>
  </si>
  <si>
    <t>d</t>
  </si>
  <si>
    <t>o</t>
  </si>
  <si>
    <t>M</t>
  </si>
  <si>
    <t>kn</t>
  </si>
  <si>
    <t>yd</t>
  </si>
  <si>
    <t>pc</t>
  </si>
  <si>
    <t>in</t>
  </si>
  <si>
    <t>ft</t>
  </si>
  <si>
    <t>mi</t>
  </si>
  <si>
    <t>lb</t>
  </si>
  <si>
    <t>eV</t>
  </si>
  <si>
    <t>Da</t>
  </si>
  <si>
    <t>ua</t>
  </si>
  <si>
    <t>ħ</t>
  </si>
  <si>
    <t>mmHg</t>
  </si>
  <si>
    <t>bar</t>
  </si>
  <si>
    <t>atm</t>
  </si>
  <si>
    <t>psi</t>
  </si>
  <si>
    <t>km/h</t>
  </si>
  <si>
    <t>mi/h</t>
  </si>
  <si>
    <t>r/min</t>
  </si>
  <si>
    <t>kcal</t>
  </si>
  <si>
    <t>kWh</t>
  </si>
  <si>
    <t>g</t>
  </si>
  <si>
    <t>%</t>
  </si>
  <si>
    <t>‰</t>
  </si>
  <si>
    <t>bpm</t>
  </si>
  <si>
    <t>ms</t>
  </si>
  <si>
    <t>Ah</t>
  </si>
  <si>
    <t>dB</t>
  </si>
  <si>
    <t>dBm</t>
  </si>
  <si>
    <r>
      <t>o</t>
    </r>
    <r>
      <rPr>
        <sz val="11"/>
        <color indexed="8"/>
        <rFont val="Calibri"/>
        <family val="2"/>
      </rPr>
      <t>C</t>
    </r>
  </si>
  <si>
    <r>
      <t>L</t>
    </r>
    <r>
      <rPr>
        <vertAlign val="subscript"/>
        <sz val="11"/>
        <color indexed="8"/>
        <rFont val="Calibri"/>
        <family val="2"/>
      </rPr>
      <t>v</t>
    </r>
  </si>
  <si>
    <r>
      <t>m</t>
    </r>
    <r>
      <rPr>
        <i/>
        <vertAlign val="superscript"/>
        <sz val="11"/>
        <rFont val="Calibri"/>
        <family val="2"/>
      </rPr>
      <t>2</t>
    </r>
  </si>
  <si>
    <r>
      <t>m</t>
    </r>
    <r>
      <rPr>
        <i/>
        <vertAlign val="superscript"/>
        <sz val="11"/>
        <rFont val="Calibri"/>
        <family val="2"/>
      </rPr>
      <t>3</t>
    </r>
  </si>
  <si>
    <r>
      <t>m/s</t>
    </r>
    <r>
      <rPr>
        <i/>
        <vertAlign val="superscript"/>
        <sz val="11"/>
        <rFont val="Calibri"/>
        <family val="2"/>
      </rPr>
      <t>2</t>
    </r>
  </si>
  <si>
    <r>
      <t>rad/s</t>
    </r>
    <r>
      <rPr>
        <i/>
        <vertAlign val="superscript"/>
        <sz val="11"/>
        <color indexed="8"/>
        <rFont val="Calibri"/>
        <family val="2"/>
      </rPr>
      <t>2</t>
    </r>
  </si>
  <si>
    <r>
      <t>c</t>
    </r>
    <r>
      <rPr>
        <vertAlign val="subscript"/>
        <sz val="11"/>
        <color indexed="8"/>
        <rFont val="Calibri"/>
        <family val="2"/>
      </rPr>
      <t>0</t>
    </r>
  </si>
  <si>
    <r>
      <t>o</t>
    </r>
    <r>
      <rPr>
        <sz val="11"/>
        <rFont val="Calibri"/>
        <family val="2"/>
      </rPr>
      <t>F</t>
    </r>
  </si>
  <si>
    <r>
      <t>m m</t>
    </r>
    <r>
      <rPr>
        <vertAlign val="superscript"/>
        <sz val="11"/>
        <rFont val="Calibri"/>
        <family val="2"/>
      </rPr>
      <t>-1</t>
    </r>
  </si>
  <si>
    <r>
      <t>m</t>
    </r>
    <r>
      <rPr>
        <vertAlign val="superscript"/>
        <sz val="11"/>
        <rFont val="Calibri"/>
        <family val="2"/>
      </rPr>
      <t>2</t>
    </r>
    <r>
      <rPr>
        <sz val="11"/>
        <rFont val="Calibri"/>
        <family val="2"/>
      </rPr>
      <t xml:space="preserve"> m</t>
    </r>
    <r>
      <rPr>
        <vertAlign val="superscript"/>
        <sz val="11"/>
        <rFont val="Calibri"/>
        <family val="2"/>
      </rPr>
      <t>-2</t>
    </r>
  </si>
  <si>
    <r>
      <t>s</t>
    </r>
    <r>
      <rPr>
        <vertAlign val="superscript"/>
        <sz val="11"/>
        <rFont val="Calibri"/>
        <family val="2"/>
      </rPr>
      <t>-1</t>
    </r>
  </si>
  <si>
    <r>
      <t>m kg s</t>
    </r>
    <r>
      <rPr>
        <vertAlign val="superscript"/>
        <sz val="11"/>
        <rFont val="Calibri"/>
        <family val="2"/>
      </rPr>
      <t>-2</t>
    </r>
  </si>
  <si>
    <r>
      <t>N/m</t>
    </r>
    <r>
      <rPr>
        <vertAlign val="superscript"/>
        <sz val="11"/>
        <rFont val="Calibri"/>
        <family val="2"/>
      </rPr>
      <t>2</t>
    </r>
    <r>
      <rPr>
        <sz val="11"/>
        <rFont val="Calibri"/>
        <family val="2"/>
      </rPr>
      <t xml:space="preserve"> = m</t>
    </r>
    <r>
      <rPr>
        <vertAlign val="superscript"/>
        <sz val="11"/>
        <rFont val="Calibri"/>
        <family val="2"/>
      </rPr>
      <t>2</t>
    </r>
    <r>
      <rPr>
        <sz val="11"/>
        <rFont val="Calibri"/>
        <family val="2"/>
      </rPr>
      <t xml:space="preserve"> kg s</t>
    </r>
    <r>
      <rPr>
        <vertAlign val="superscript"/>
        <sz val="11"/>
        <rFont val="Calibri"/>
        <family val="2"/>
      </rPr>
      <t>-2</t>
    </r>
  </si>
  <si>
    <r>
      <t>N m = m</t>
    </r>
    <r>
      <rPr>
        <vertAlign val="superscript"/>
        <sz val="11"/>
        <rFont val="Calibri"/>
        <family val="2"/>
      </rPr>
      <t>2</t>
    </r>
    <r>
      <rPr>
        <sz val="11"/>
        <rFont val="Calibri"/>
        <family val="2"/>
      </rPr>
      <t xml:space="preserve"> kg s</t>
    </r>
    <r>
      <rPr>
        <vertAlign val="superscript"/>
        <sz val="11"/>
        <rFont val="Calibri"/>
        <family val="2"/>
      </rPr>
      <t>-2</t>
    </r>
  </si>
  <si>
    <r>
      <t>J/s = m</t>
    </r>
    <r>
      <rPr>
        <vertAlign val="superscript"/>
        <sz val="11"/>
        <rFont val="Calibri"/>
        <family val="2"/>
      </rPr>
      <t>2</t>
    </r>
    <r>
      <rPr>
        <sz val="11"/>
        <rFont val="Calibri"/>
        <family val="2"/>
      </rPr>
      <t xml:space="preserve"> kg s</t>
    </r>
    <r>
      <rPr>
        <vertAlign val="superscript"/>
        <sz val="11"/>
        <rFont val="Calibri"/>
        <family val="2"/>
      </rPr>
      <t>-3</t>
    </r>
  </si>
  <si>
    <t>s A</t>
  </si>
  <si>
    <r>
      <t>W/A = m</t>
    </r>
    <r>
      <rPr>
        <vertAlign val="superscript"/>
        <sz val="11"/>
        <rFont val="Calibri"/>
        <family val="2"/>
      </rPr>
      <t>2</t>
    </r>
    <r>
      <rPr>
        <sz val="11"/>
        <rFont val="Calibri"/>
        <family val="2"/>
      </rPr>
      <t xml:space="preserve"> kg s</t>
    </r>
    <r>
      <rPr>
        <vertAlign val="superscript"/>
        <sz val="11"/>
        <rFont val="Calibri"/>
        <family val="2"/>
      </rPr>
      <t>-3</t>
    </r>
    <r>
      <rPr>
        <sz val="11"/>
        <rFont val="Calibri"/>
        <family val="2"/>
      </rPr>
      <t xml:space="preserve"> A</t>
    </r>
    <r>
      <rPr>
        <vertAlign val="superscript"/>
        <sz val="11"/>
        <rFont val="Calibri"/>
        <family val="2"/>
      </rPr>
      <t>-1</t>
    </r>
  </si>
  <si>
    <r>
      <t>C/V = m</t>
    </r>
    <r>
      <rPr>
        <vertAlign val="superscript"/>
        <sz val="11"/>
        <rFont val="Calibri"/>
        <family val="2"/>
      </rPr>
      <t>-2</t>
    </r>
    <r>
      <rPr>
        <sz val="11"/>
        <rFont val="Calibri"/>
        <family val="2"/>
      </rPr>
      <t xml:space="preserve"> kg</t>
    </r>
    <r>
      <rPr>
        <vertAlign val="superscript"/>
        <sz val="11"/>
        <rFont val="Calibri"/>
        <family val="2"/>
      </rPr>
      <t>-1</t>
    </r>
    <r>
      <rPr>
        <sz val="11"/>
        <rFont val="Calibri"/>
        <family val="2"/>
      </rPr>
      <t xml:space="preserve"> s</t>
    </r>
    <r>
      <rPr>
        <vertAlign val="superscript"/>
        <sz val="11"/>
        <rFont val="Calibri"/>
        <family val="2"/>
      </rPr>
      <t>4</t>
    </r>
    <r>
      <rPr>
        <sz val="11"/>
        <rFont val="Calibri"/>
        <family val="2"/>
      </rPr>
      <t xml:space="preserve"> A</t>
    </r>
    <r>
      <rPr>
        <vertAlign val="superscript"/>
        <sz val="11"/>
        <rFont val="Calibri"/>
        <family val="2"/>
      </rPr>
      <t>2</t>
    </r>
  </si>
  <si>
    <r>
      <t>V/A = m</t>
    </r>
    <r>
      <rPr>
        <vertAlign val="superscript"/>
        <sz val="11"/>
        <rFont val="Calibri"/>
        <family val="2"/>
      </rPr>
      <t>2</t>
    </r>
    <r>
      <rPr>
        <sz val="11"/>
        <rFont val="Calibri"/>
        <family val="2"/>
      </rPr>
      <t xml:space="preserve"> kg s</t>
    </r>
    <r>
      <rPr>
        <vertAlign val="superscript"/>
        <sz val="11"/>
        <rFont val="Calibri"/>
        <family val="2"/>
      </rPr>
      <t>-3</t>
    </r>
    <r>
      <rPr>
        <sz val="11"/>
        <rFont val="Calibri"/>
        <family val="2"/>
      </rPr>
      <t xml:space="preserve"> A</t>
    </r>
    <r>
      <rPr>
        <vertAlign val="superscript"/>
        <sz val="11"/>
        <rFont val="Calibri"/>
        <family val="2"/>
      </rPr>
      <t>-2</t>
    </r>
  </si>
  <si>
    <r>
      <t>A/V = m</t>
    </r>
    <r>
      <rPr>
        <vertAlign val="superscript"/>
        <sz val="11"/>
        <rFont val="Calibri"/>
        <family val="2"/>
      </rPr>
      <t>-2</t>
    </r>
    <r>
      <rPr>
        <sz val="11"/>
        <rFont val="Calibri"/>
        <family val="2"/>
      </rPr>
      <t xml:space="preserve"> kg</t>
    </r>
    <r>
      <rPr>
        <vertAlign val="superscript"/>
        <sz val="11"/>
        <rFont val="Calibri"/>
        <family val="2"/>
      </rPr>
      <t>-1</t>
    </r>
    <r>
      <rPr>
        <sz val="11"/>
        <rFont val="Calibri"/>
        <family val="2"/>
      </rPr>
      <t xml:space="preserve"> s</t>
    </r>
    <r>
      <rPr>
        <vertAlign val="superscript"/>
        <sz val="11"/>
        <rFont val="Calibri"/>
        <family val="2"/>
      </rPr>
      <t>3</t>
    </r>
    <r>
      <rPr>
        <sz val="11"/>
        <rFont val="Calibri"/>
        <family val="2"/>
      </rPr>
      <t xml:space="preserve"> A</t>
    </r>
    <r>
      <rPr>
        <vertAlign val="superscript"/>
        <sz val="11"/>
        <rFont val="Calibri"/>
        <family val="2"/>
      </rPr>
      <t>2</t>
    </r>
  </si>
  <si>
    <r>
      <t>V s = m</t>
    </r>
    <r>
      <rPr>
        <vertAlign val="superscript"/>
        <sz val="11"/>
        <rFont val="Calibri"/>
        <family val="2"/>
      </rPr>
      <t>2</t>
    </r>
    <r>
      <rPr>
        <sz val="11"/>
        <rFont val="Calibri"/>
        <family val="2"/>
      </rPr>
      <t xml:space="preserve"> kg s</t>
    </r>
    <r>
      <rPr>
        <vertAlign val="superscript"/>
        <sz val="11"/>
        <rFont val="Calibri"/>
        <family val="2"/>
      </rPr>
      <t>-2</t>
    </r>
    <r>
      <rPr>
        <sz val="11"/>
        <rFont val="Calibri"/>
        <family val="2"/>
      </rPr>
      <t xml:space="preserve"> A</t>
    </r>
    <r>
      <rPr>
        <vertAlign val="superscript"/>
        <sz val="11"/>
        <rFont val="Calibri"/>
        <family val="2"/>
      </rPr>
      <t>-1</t>
    </r>
  </si>
  <si>
    <r>
      <t>Wb/m</t>
    </r>
    <r>
      <rPr>
        <vertAlign val="superscript"/>
        <sz val="11"/>
        <rFont val="Calibri"/>
        <family val="2"/>
      </rPr>
      <t>2</t>
    </r>
    <r>
      <rPr>
        <sz val="11"/>
        <rFont val="Calibri"/>
        <family val="2"/>
      </rPr>
      <t xml:space="preserve"> = kg s</t>
    </r>
    <r>
      <rPr>
        <vertAlign val="superscript"/>
        <sz val="11"/>
        <rFont val="Calibri"/>
        <family val="2"/>
      </rPr>
      <t>-2</t>
    </r>
    <r>
      <rPr>
        <sz val="11"/>
        <rFont val="Calibri"/>
        <family val="2"/>
      </rPr>
      <t xml:space="preserve"> A</t>
    </r>
    <r>
      <rPr>
        <vertAlign val="superscript"/>
        <sz val="11"/>
        <rFont val="Calibri"/>
        <family val="2"/>
      </rPr>
      <t>-1</t>
    </r>
  </si>
  <si>
    <r>
      <t>Wb/A = m</t>
    </r>
    <r>
      <rPr>
        <vertAlign val="superscript"/>
        <sz val="11"/>
        <rFont val="Calibri"/>
        <family val="2"/>
      </rPr>
      <t>2</t>
    </r>
    <r>
      <rPr>
        <sz val="11"/>
        <rFont val="Calibri"/>
        <family val="2"/>
      </rPr>
      <t xml:space="preserve"> kg s</t>
    </r>
    <r>
      <rPr>
        <vertAlign val="superscript"/>
        <sz val="11"/>
        <rFont val="Calibri"/>
        <family val="2"/>
      </rPr>
      <t>-2</t>
    </r>
    <r>
      <rPr>
        <sz val="11"/>
        <rFont val="Calibri"/>
        <family val="2"/>
      </rPr>
      <t xml:space="preserve"> A</t>
    </r>
    <r>
      <rPr>
        <vertAlign val="superscript"/>
        <sz val="11"/>
        <rFont val="Calibri"/>
        <family val="2"/>
      </rPr>
      <t>-2</t>
    </r>
  </si>
  <si>
    <r>
      <t>t</t>
    </r>
    <r>
      <rPr>
        <sz val="11"/>
        <rFont val="Calibri"/>
        <family val="2"/>
      </rPr>
      <t>/</t>
    </r>
    <r>
      <rPr>
        <vertAlign val="superscript"/>
        <sz val="11"/>
        <rFont val="Calibri"/>
        <family val="2"/>
      </rPr>
      <t>o</t>
    </r>
    <r>
      <rPr>
        <sz val="11"/>
        <rFont val="Calibri"/>
        <family val="2"/>
      </rPr>
      <t xml:space="preserve">C = </t>
    </r>
    <r>
      <rPr>
        <i/>
        <sz val="11"/>
        <rFont val="Calibri"/>
        <family val="2"/>
      </rPr>
      <t>T</t>
    </r>
    <r>
      <rPr>
        <sz val="11"/>
        <rFont val="Calibri"/>
        <family val="2"/>
      </rPr>
      <t>/K – 273.15</t>
    </r>
  </si>
  <si>
    <t>cd sr = cd</t>
  </si>
  <si>
    <r>
      <t>lm/m</t>
    </r>
    <r>
      <rPr>
        <vertAlign val="superscript"/>
        <sz val="11"/>
        <rFont val="Calibri"/>
        <family val="2"/>
      </rPr>
      <t>2</t>
    </r>
    <r>
      <rPr>
        <sz val="11"/>
        <rFont val="Calibri"/>
        <family val="2"/>
      </rPr>
      <t xml:space="preserve"> = m</t>
    </r>
    <r>
      <rPr>
        <vertAlign val="superscript"/>
        <sz val="11"/>
        <rFont val="Calibri"/>
        <family val="2"/>
      </rPr>
      <t>-2</t>
    </r>
    <r>
      <rPr>
        <sz val="11"/>
        <rFont val="Calibri"/>
        <family val="2"/>
      </rPr>
      <t xml:space="preserve"> cd</t>
    </r>
  </si>
  <si>
    <r>
      <t>J/kg = m</t>
    </r>
    <r>
      <rPr>
        <vertAlign val="superscript"/>
        <sz val="11"/>
        <rFont val="Calibri"/>
        <family val="2"/>
      </rPr>
      <t>2</t>
    </r>
    <r>
      <rPr>
        <sz val="11"/>
        <rFont val="Calibri"/>
        <family val="2"/>
      </rPr>
      <t xml:space="preserve"> s</t>
    </r>
    <r>
      <rPr>
        <vertAlign val="superscript"/>
        <sz val="11"/>
        <rFont val="Calibri"/>
        <family val="2"/>
      </rPr>
      <t>-2</t>
    </r>
  </si>
  <si>
    <r>
      <t>s</t>
    </r>
    <r>
      <rPr>
        <vertAlign val="superscript"/>
        <sz val="11"/>
        <rFont val="Calibri"/>
        <family val="2"/>
      </rPr>
      <t>-1</t>
    </r>
    <r>
      <rPr>
        <sz val="11"/>
        <rFont val="Calibri"/>
        <family val="2"/>
      </rPr>
      <t xml:space="preserve"> mol</t>
    </r>
  </si>
  <si>
    <r>
      <t>A m</t>
    </r>
    <r>
      <rPr>
        <vertAlign val="superscript"/>
        <sz val="11"/>
        <rFont val="Calibri"/>
        <family val="2"/>
      </rPr>
      <t>-2</t>
    </r>
  </si>
  <si>
    <t>A m</t>
  </si>
  <si>
    <r>
      <t>mol m</t>
    </r>
    <r>
      <rPr>
        <vertAlign val="superscript"/>
        <sz val="11"/>
        <rFont val="Calibri"/>
        <family val="2"/>
      </rPr>
      <t>-3</t>
    </r>
  </si>
  <si>
    <r>
      <t>cd m</t>
    </r>
    <r>
      <rPr>
        <vertAlign val="superscript"/>
        <sz val="11"/>
        <rFont val="Calibri"/>
        <family val="2"/>
      </rPr>
      <t>-2</t>
    </r>
  </si>
  <si>
    <r>
      <t>m</t>
    </r>
    <r>
      <rPr>
        <vertAlign val="superscript"/>
        <sz val="11"/>
        <rFont val="Calibri"/>
        <family val="2"/>
      </rPr>
      <t>2</t>
    </r>
  </si>
  <si>
    <r>
      <t>m</t>
    </r>
    <r>
      <rPr>
        <vertAlign val="superscript"/>
        <sz val="11"/>
        <rFont val="Calibri"/>
        <family val="2"/>
      </rPr>
      <t>3</t>
    </r>
  </si>
  <si>
    <r>
      <t>10</t>
    </r>
    <r>
      <rPr>
        <vertAlign val="superscript"/>
        <sz val="11"/>
        <rFont val="Calibri"/>
        <family val="2"/>
      </rPr>
      <t>4</t>
    </r>
    <r>
      <rPr>
        <sz val="11"/>
        <rFont val="Calibri"/>
        <family val="2"/>
      </rPr>
      <t xml:space="preserve"> m</t>
    </r>
    <r>
      <rPr>
        <vertAlign val="superscript"/>
        <sz val="11"/>
        <rFont val="Calibri"/>
        <family val="2"/>
      </rPr>
      <t>2</t>
    </r>
  </si>
  <si>
    <r>
      <t>10</t>
    </r>
    <r>
      <rPr>
        <vertAlign val="superscript"/>
        <sz val="11"/>
        <rFont val="Calibri"/>
        <family val="2"/>
      </rPr>
      <t>-3</t>
    </r>
    <r>
      <rPr>
        <sz val="11"/>
        <rFont val="Calibri"/>
        <family val="2"/>
      </rPr>
      <t xml:space="preserve"> m</t>
    </r>
    <r>
      <rPr>
        <vertAlign val="superscript"/>
        <sz val="11"/>
        <rFont val="Calibri"/>
        <family val="2"/>
      </rPr>
      <t>3</t>
    </r>
  </si>
  <si>
    <r>
      <t>m s</t>
    </r>
    <r>
      <rPr>
        <vertAlign val="superscript"/>
        <sz val="11"/>
        <rFont val="Calibri"/>
        <family val="2"/>
      </rPr>
      <t>-1</t>
    </r>
  </si>
  <si>
    <r>
      <t>m s</t>
    </r>
    <r>
      <rPr>
        <vertAlign val="superscript"/>
        <sz val="11"/>
        <rFont val="Calibri"/>
        <family val="2"/>
      </rPr>
      <t>‑2</t>
    </r>
  </si>
  <si>
    <r>
      <t>m</t>
    </r>
    <r>
      <rPr>
        <vertAlign val="superscript"/>
        <sz val="11"/>
        <rFont val="Calibri"/>
        <family val="2"/>
      </rPr>
      <t>-1</t>
    </r>
  </si>
  <si>
    <r>
      <t>10</t>
    </r>
    <r>
      <rPr>
        <vertAlign val="superscript"/>
        <sz val="11"/>
        <rFont val="Calibri"/>
        <family val="2"/>
      </rPr>
      <t>-28</t>
    </r>
    <r>
      <rPr>
        <sz val="11"/>
        <rFont val="Calibri"/>
        <family val="2"/>
      </rPr>
      <t xml:space="preserve"> m</t>
    </r>
    <r>
      <rPr>
        <vertAlign val="superscript"/>
        <sz val="11"/>
        <rFont val="Calibri"/>
        <family val="2"/>
      </rPr>
      <t>2</t>
    </r>
  </si>
  <si>
    <r>
      <t>m m</t>
    </r>
    <r>
      <rPr>
        <vertAlign val="superscript"/>
        <sz val="11"/>
        <rFont val="Calibri"/>
        <family val="2"/>
      </rPr>
      <t>-1</t>
    </r>
    <r>
      <rPr>
        <sz val="11"/>
        <rFont val="Calibri"/>
        <family val="2"/>
      </rPr>
      <t xml:space="preserve"> s</t>
    </r>
    <r>
      <rPr>
        <vertAlign val="superscript"/>
        <sz val="11"/>
        <rFont val="Calibri"/>
        <family val="2"/>
      </rPr>
      <t>-1</t>
    </r>
    <r>
      <rPr>
        <sz val="11"/>
        <rFont val="Calibri"/>
        <family val="2"/>
      </rPr>
      <t xml:space="preserve"> = s</t>
    </r>
    <r>
      <rPr>
        <vertAlign val="superscript"/>
        <sz val="11"/>
        <rFont val="Calibri"/>
        <family val="2"/>
      </rPr>
      <t>-1</t>
    </r>
  </si>
  <si>
    <r>
      <t>m m</t>
    </r>
    <r>
      <rPr>
        <vertAlign val="superscript"/>
        <sz val="11"/>
        <rFont val="Calibri"/>
        <family val="2"/>
      </rPr>
      <t>-1</t>
    </r>
    <r>
      <rPr>
        <sz val="11"/>
        <rFont val="Calibri"/>
        <family val="2"/>
      </rPr>
      <t xml:space="preserve"> s</t>
    </r>
    <r>
      <rPr>
        <vertAlign val="superscript"/>
        <sz val="11"/>
        <rFont val="Calibri"/>
        <family val="2"/>
      </rPr>
      <t>-2</t>
    </r>
    <r>
      <rPr>
        <sz val="11"/>
        <rFont val="Calibri"/>
        <family val="2"/>
      </rPr>
      <t xml:space="preserve"> = s</t>
    </r>
    <r>
      <rPr>
        <vertAlign val="superscript"/>
        <sz val="11"/>
        <rFont val="Calibri"/>
        <family val="2"/>
      </rPr>
      <t>-2</t>
    </r>
  </si>
  <si>
    <r>
      <t>kg m</t>
    </r>
    <r>
      <rPr>
        <vertAlign val="superscript"/>
        <sz val="11"/>
        <rFont val="Calibri"/>
        <family val="2"/>
      </rPr>
      <t>-3</t>
    </r>
  </si>
  <si>
    <r>
      <t>kg m</t>
    </r>
    <r>
      <rPr>
        <vertAlign val="superscript"/>
        <sz val="11"/>
        <rFont val="Calibri"/>
        <family val="2"/>
      </rPr>
      <t>-2</t>
    </r>
  </si>
  <si>
    <r>
      <t>m</t>
    </r>
    <r>
      <rPr>
        <vertAlign val="superscript"/>
        <sz val="11"/>
        <rFont val="Calibri"/>
        <family val="2"/>
      </rPr>
      <t>3</t>
    </r>
    <r>
      <rPr>
        <sz val="11"/>
        <rFont val="Calibri"/>
        <family val="2"/>
      </rPr>
      <t xml:space="preserve"> kg</t>
    </r>
    <r>
      <rPr>
        <vertAlign val="superscript"/>
        <sz val="11"/>
        <rFont val="Calibri"/>
        <family val="2"/>
      </rPr>
      <t>-1</t>
    </r>
  </si>
  <si>
    <t>1000 kg</t>
  </si>
  <si>
    <t>60 s</t>
  </si>
  <si>
    <t>3600 s</t>
  </si>
  <si>
    <t>86400 s</t>
  </si>
  <si>
    <t>(π/180) rad</t>
  </si>
  <si>
    <t>1852 m</t>
  </si>
  <si>
    <r>
      <t>(1852 / 3600) m s</t>
    </r>
    <r>
      <rPr>
        <vertAlign val="superscript"/>
        <sz val="11"/>
        <rFont val="Calibri"/>
        <family val="2"/>
      </rPr>
      <t>-1</t>
    </r>
  </si>
  <si>
    <t>0.9144 m</t>
  </si>
  <si>
    <r>
      <t>3.085678 × 10</t>
    </r>
    <r>
      <rPr>
        <vertAlign val="superscript"/>
        <sz val="11"/>
        <rFont val="Calibri"/>
        <family val="2"/>
      </rPr>
      <t>16</t>
    </r>
    <r>
      <rPr>
        <sz val="11"/>
        <rFont val="Calibri"/>
        <family val="2"/>
      </rPr>
      <t xml:space="preserve"> m</t>
    </r>
  </si>
  <si>
    <t>0.0254 m</t>
  </si>
  <si>
    <t>0.3048 m</t>
  </si>
  <si>
    <t>1609.347 m</t>
  </si>
  <si>
    <t>0.45359237 kg</t>
  </si>
  <si>
    <r>
      <t>1.60217653 × 10</t>
    </r>
    <r>
      <rPr>
        <vertAlign val="superscript"/>
        <sz val="11"/>
        <rFont val="Calibri"/>
        <family val="2"/>
      </rPr>
      <t>-19</t>
    </r>
    <r>
      <rPr>
        <sz val="11"/>
        <rFont val="Calibri"/>
        <family val="2"/>
      </rPr>
      <t xml:space="preserve"> J</t>
    </r>
  </si>
  <si>
    <r>
      <t>1.66053886 × 10</t>
    </r>
    <r>
      <rPr>
        <vertAlign val="superscript"/>
        <sz val="11"/>
        <rFont val="Calibri"/>
        <family val="2"/>
      </rPr>
      <t>-27</t>
    </r>
    <r>
      <rPr>
        <sz val="11"/>
        <rFont val="Calibri"/>
        <family val="2"/>
      </rPr>
      <t xml:space="preserve"> kg</t>
    </r>
  </si>
  <si>
    <r>
      <t>1.49597870691 × 10</t>
    </r>
    <r>
      <rPr>
        <vertAlign val="superscript"/>
        <sz val="11"/>
        <rFont val="Calibri"/>
        <family val="2"/>
      </rPr>
      <t>11</t>
    </r>
    <r>
      <rPr>
        <sz val="11"/>
        <rFont val="Calibri"/>
        <family val="2"/>
      </rPr>
      <t xml:space="preserve"> m</t>
    </r>
  </si>
  <si>
    <r>
      <t>299792458 m s</t>
    </r>
    <r>
      <rPr>
        <vertAlign val="superscript"/>
        <sz val="11"/>
        <rFont val="Calibri"/>
        <family val="2"/>
      </rPr>
      <t>-1</t>
    </r>
  </si>
  <si>
    <r>
      <t>1.05457168 × 10</t>
    </r>
    <r>
      <rPr>
        <vertAlign val="superscript"/>
        <sz val="11"/>
        <rFont val="Calibri"/>
        <family val="2"/>
      </rPr>
      <t>-34</t>
    </r>
    <r>
      <rPr>
        <sz val="11"/>
        <rFont val="Calibri"/>
        <family val="2"/>
      </rPr>
      <t xml:space="preserve"> J s</t>
    </r>
  </si>
  <si>
    <t>133.322 Pa</t>
  </si>
  <si>
    <r>
      <t>10</t>
    </r>
    <r>
      <rPr>
        <vertAlign val="superscript"/>
        <sz val="11"/>
        <rFont val="Calibri"/>
        <family val="2"/>
      </rPr>
      <t>5</t>
    </r>
    <r>
      <rPr>
        <sz val="11"/>
        <rFont val="Calibri"/>
        <family val="2"/>
      </rPr>
      <t xml:space="preserve"> Pa</t>
    </r>
  </si>
  <si>
    <r>
      <t>1.01325 × 10</t>
    </r>
    <r>
      <rPr>
        <vertAlign val="superscript"/>
        <sz val="11"/>
        <rFont val="Calibri"/>
        <family val="2"/>
      </rPr>
      <t xml:space="preserve">-5 </t>
    </r>
    <r>
      <rPr>
        <sz val="11"/>
        <rFont val="Calibri"/>
        <family val="2"/>
      </rPr>
      <t>Pa</t>
    </r>
  </si>
  <si>
    <r>
      <t>6.894757 × 10</t>
    </r>
    <r>
      <rPr>
        <vertAlign val="superscript"/>
        <sz val="11"/>
        <rFont val="Calibri"/>
        <family val="2"/>
      </rPr>
      <t>3</t>
    </r>
    <r>
      <rPr>
        <sz val="11"/>
        <rFont val="Calibri"/>
        <family val="2"/>
      </rPr>
      <t xml:space="preserve"> Pa</t>
    </r>
  </si>
  <si>
    <r>
      <t>0.2777778 m s</t>
    </r>
    <r>
      <rPr>
        <vertAlign val="superscript"/>
        <sz val="11"/>
        <rFont val="Calibri"/>
        <family val="2"/>
      </rPr>
      <t>-1</t>
    </r>
  </si>
  <si>
    <r>
      <t>0.44704 m s</t>
    </r>
    <r>
      <rPr>
        <vertAlign val="superscript"/>
        <sz val="11"/>
        <rFont val="Calibri"/>
        <family val="2"/>
      </rPr>
      <t>-1</t>
    </r>
  </si>
  <si>
    <t>0.1047198 rad s-1</t>
  </si>
  <si>
    <t>4190.02 J</t>
  </si>
  <si>
    <t>3600000 J</t>
  </si>
  <si>
    <r>
      <t>9.80665 m s</t>
    </r>
    <r>
      <rPr>
        <vertAlign val="superscript"/>
        <sz val="11"/>
        <rFont val="Calibri"/>
        <family val="2"/>
      </rPr>
      <t>-2</t>
    </r>
  </si>
  <si>
    <r>
      <t>t</t>
    </r>
    <r>
      <rPr>
        <sz val="11"/>
        <rFont val="Calibri"/>
        <family val="2"/>
      </rPr>
      <t>/</t>
    </r>
    <r>
      <rPr>
        <vertAlign val="superscript"/>
        <sz val="11"/>
        <rFont val="Calibri"/>
        <family val="2"/>
      </rPr>
      <t>o</t>
    </r>
    <r>
      <rPr>
        <sz val="11"/>
        <rFont val="Calibri"/>
        <family val="2"/>
      </rPr>
      <t xml:space="preserve">F = </t>
    </r>
    <r>
      <rPr>
        <i/>
        <sz val="11"/>
        <rFont val="Calibri"/>
        <family val="2"/>
      </rPr>
      <t>T</t>
    </r>
    <r>
      <rPr>
        <sz val="11"/>
        <rFont val="Calibri"/>
        <family val="2"/>
      </rPr>
      <t>/K × 1.8 - 459.67</t>
    </r>
  </si>
  <si>
    <t>0 = false, 1 = true</t>
  </si>
  <si>
    <t>0 = low, 1 = mid, 2 = high</t>
  </si>
  <si>
    <t>0 .. 15</t>
  </si>
  <si>
    <t>0 .. 255</t>
  </si>
  <si>
    <t>0 .. 65535</t>
  </si>
  <si>
    <t>(1 / 60) Hz</t>
  </si>
  <si>
    <t>0.001 s</t>
  </si>
  <si>
    <t>3600 A s</t>
  </si>
  <si>
    <r>
      <t>10 log</t>
    </r>
    <r>
      <rPr>
        <vertAlign val="subscript"/>
        <sz val="11"/>
        <rFont val="Calibri"/>
        <family val="2"/>
      </rPr>
      <t>10</t>
    </r>
    <r>
      <rPr>
        <sz val="11"/>
        <rFont val="Calibri"/>
        <family val="2"/>
      </rPr>
      <t xml:space="preserve"> (P</t>
    </r>
    <r>
      <rPr>
        <vertAlign val="subscript"/>
        <sz val="11"/>
        <rFont val="Calibri"/>
        <family val="2"/>
      </rPr>
      <t>1</t>
    </r>
    <r>
      <rPr>
        <sz val="11"/>
        <rFont val="Calibri"/>
        <family val="2"/>
      </rPr>
      <t xml:space="preserve"> / P</t>
    </r>
    <r>
      <rPr>
        <vertAlign val="subscript"/>
        <sz val="11"/>
        <rFont val="Calibri"/>
        <family val="2"/>
      </rPr>
      <t>0</t>
    </r>
    <r>
      <rPr>
        <sz val="11"/>
        <rFont val="Calibri"/>
        <family val="2"/>
      </rPr>
      <t>)</t>
    </r>
  </si>
  <si>
    <r>
      <t>10 log</t>
    </r>
    <r>
      <rPr>
        <vertAlign val="subscript"/>
        <sz val="11"/>
        <rFont val="Calibri"/>
        <family val="2"/>
      </rPr>
      <t>10</t>
    </r>
    <r>
      <rPr>
        <sz val="11"/>
        <rFont val="Calibri"/>
        <family val="2"/>
      </rPr>
      <t xml:space="preserve"> </t>
    </r>
    <r>
      <rPr>
        <i/>
        <sz val="11"/>
        <rFont val="Calibri"/>
        <family val="2"/>
      </rPr>
      <t>P</t>
    </r>
    <r>
      <rPr>
        <sz val="11"/>
        <rFont val="Calibri"/>
        <family val="2"/>
      </rPr>
      <t xml:space="preserve"> + 30</t>
    </r>
  </si>
  <si>
    <t>300A</t>
  </si>
  <si>
    <t>300B</t>
  </si>
  <si>
    <t>300C</t>
  </si>
  <si>
    <t>300D</t>
  </si>
  <si>
    <t>300E</t>
  </si>
  <si>
    <t>300F</t>
  </si>
  <si>
    <t>301A</t>
  </si>
  <si>
    <t>301B</t>
  </si>
  <si>
    <t>301C</t>
  </si>
  <si>
    <t>301D</t>
  </si>
  <si>
    <t>301E</t>
  </si>
  <si>
    <t>301F</t>
  </si>
  <si>
    <t>302A</t>
  </si>
  <si>
    <t>302B</t>
  </si>
  <si>
    <t>302C</t>
  </si>
  <si>
    <t>302D</t>
  </si>
  <si>
    <t>302E</t>
  </si>
  <si>
    <t>302F</t>
  </si>
  <si>
    <t>303A</t>
  </si>
  <si>
    <t>303B</t>
  </si>
  <si>
    <t>303C</t>
  </si>
  <si>
    <t>303D</t>
  </si>
  <si>
    <t>303E</t>
  </si>
  <si>
    <t>303F</t>
  </si>
  <si>
    <t>304A</t>
  </si>
  <si>
    <t>304B</t>
  </si>
  <si>
    <t>304C</t>
  </si>
  <si>
    <t>304D</t>
  </si>
  <si>
    <t>304E</t>
  </si>
  <si>
    <t>304F</t>
  </si>
  <si>
    <t>Include</t>
  </si>
  <si>
    <t>Characteristic Extended Properties</t>
  </si>
  <si>
    <t>0x04</t>
  </si>
  <si>
    <t>{extended properties=0x0003}</t>
  </si>
  <si>
    <t>{extended properties=0x0001}</t>
  </si>
  <si>
    <t>B001</t>
  </si>
  <si>
    <t>B002</t>
  </si>
  <si>
    <t>B003</t>
  </si>
  <si>
    <t>B004</t>
  </si>
  <si>
    <t>B005</t>
  </si>
  <si>
    <t>B006</t>
  </si>
  <si>
    <t>B007</t>
  </si>
  <si>
    <t>B008</t>
  </si>
  <si>
    <t>B00A</t>
  </si>
  <si>
    <t>Server Characteristic Configuration</t>
  </si>
  <si>
    <t>Client Characteristic Configuration</t>
  </si>
  <si>
    <t>Reconnection Address</t>
  </si>
  <si>
    <t>Double handle allocations!              Count:</t>
  </si>
  <si>
    <t>Handle check:</t>
  </si>
  <si>
    <t>UUID (16 or 128bit)</t>
  </si>
  <si>
    <t>0000B00B000000000123456789ABCDEF</t>
  </si>
  <si>
    <t>16bit UUID check:</t>
  </si>
  <si>
    <t>128bit UUID check:</t>
  </si>
  <si>
    <t>Double 128-bit UUID allocations!         Count:</t>
  </si>
  <si>
    <t>Double 16-bit UUID allocations!           Count:</t>
  </si>
  <si>
    <t>Attribute Protocol</t>
  </si>
  <si>
    <t>Appearance</t>
  </si>
  <si>
    <t>Peripheral Preferred Connection Parameters</t>
  </si>
  <si>
    <t>Primary Service</t>
  </si>
  <si>
    <t>Secondary Service</t>
  </si>
  <si>
    <t>{minimum connection interval=100, maximum connection interval=200, slave latency=0, connection supervision timeout=2000}</t>
  </si>
  <si>
    <t>Service A</t>
  </si>
  <si>
    <t>A00A</t>
  </si>
  <si>
    <t>Value V1</t>
  </si>
  <si>
    <t>Value V2</t>
  </si>
  <si>
    <t>Value V3</t>
  </si>
  <si>
    <t>Service B</t>
  </si>
  <si>
    <t>Value V5</t>
  </si>
  <si>
    <t>Value V6</t>
  </si>
  <si>
    <t>Value V7</t>
  </si>
  <si>
    <t>A00B</t>
  </si>
  <si>
    <t>Value V8</t>
  </si>
  <si>
    <t>Service D</t>
  </si>
  <si>
    <t>A00D</t>
  </si>
  <si>
    <t>Value V10</t>
  </si>
  <si>
    <t>Service E</t>
  </si>
  <si>
    <t>Value V9 (128-bit UUID)</t>
  </si>
  <si>
    <t>0000B009000000000123456789ABCDEF</t>
  </si>
  <si>
    <t>Service C (128-bit UUID)</t>
  </si>
  <si>
    <t>0000A00C000000000123456789ABCDEF</t>
  </si>
  <si>
    <t>Value V11 (128-bit UUID)</t>
  </si>
  <si>
    <t>A00E</t>
  </si>
  <si>
    <t>Value V13</t>
  </si>
  <si>
    <t>Value V4</t>
  </si>
  <si>
    <t>Value V12</t>
  </si>
  <si>
    <t>B00C</t>
  </si>
  <si>
    <t>B00D</t>
  </si>
  <si>
    <t>0000D5D4000000000123456789ABCDEF</t>
  </si>
  <si>
    <t>Descriptor V5D4 (128-bit UUID)</t>
  </si>
  <si>
    <t>0x01</t>
  </si>
  <si>
    <t>"11111222223333344444555556666677777888889999900000"</t>
  </si>
  <si>
    <t>50 byte string</t>
  </si>
  <si>
    <t>0x03</t>
  </si>
  <si>
    <t>reliable write, writeable aux.</t>
  </si>
  <si>
    <t>26 byte string</t>
  </si>
  <si>
    <t>"ABCDEFGHIJKLMNOPQRSTUVWXYZ"</t>
  </si>
  <si>
    <t>unit=length meter, descr=length</t>
  </si>
  <si>
    <t>0x44</t>
  </si>
  <si>
    <t>0x05</t>
  </si>
  <si>
    <t>0x06</t>
  </si>
  <si>
    <t>0x07</t>
  </si>
  <si>
    <t>0x08</t>
  </si>
  <si>
    <t>read/write/write w.o. response/notify/indicate</t>
  </si>
  <si>
    <t>0x09</t>
  </si>
  <si>
    <t>reliable write</t>
  </si>
  <si>
    <t>Descriptor V9D2 (128-bit UUID)</t>
  </si>
  <si>
    <t>0x22</t>
  </si>
  <si>
    <t>writeable descriptor</t>
  </si>
  <si>
    <t>includes D</t>
  </si>
  <si>
    <t>includes C.1 (128-bit UUID)</t>
  </si>
  <si>
    <t>0x0A</t>
  </si>
  <si>
    <t>0x0B</t>
  </si>
  <si>
    <t>0x0C</t>
  </si>
  <si>
    <t>0000D9D2000000000123456789ABCDEF</t>
  </si>
  <si>
    <t>0x0D</t>
  </si>
  <si>
    <t>Large Database 1 was constructed as follows:</t>
  </si>
  <si>
    <t>1.  Perform random shuffle of Large Database Source services.</t>
  </si>
  <si>
    <t>2.  Place services with 128-bit UUID at end.</t>
  </si>
  <si>
    <t>3.  Place characteristic values and descriptors with 128-bit UUIDs after those with 16-bit UUIDs.</t>
  </si>
  <si>
    <t>"1. One small test database whose services fit into a single minimum sized PDU, with only 16-bit UUIDs."</t>
  </si>
  <si>
    <t>{start handle=0x0001, end handle=0xFFFF}</t>
  </si>
  <si>
    <t>2A05</t>
  </si>
  <si>
    <t>2A00</t>
  </si>
  <si>
    <t>2A01</t>
  </si>
  <si>
    <t>2A02</t>
  </si>
  <si>
    <t>2A03</t>
  </si>
  <si>
    <t>2A04</t>
  </si>
  <si>
    <t>Descriptor V9D3 (128-bit UUID)</t>
  </si>
  <si>
    <t>0000D9D3000000000123456789ABCDEF</t>
  </si>
  <si>
    <t>0x33</t>
  </si>
  <si>
    <t>nonreadable descriptor</t>
  </si>
  <si>
    <t>Attribute allows operation</t>
  </si>
  <si>
    <t>"111112222233333444445"</t>
  </si>
  <si>
    <t>"2222233333444445555566"</t>
  </si>
  <si>
    <t>"33333444445555566666777"</t>
  </si>
  <si>
    <t>"1111122222333334444455555666667777788888999"</t>
  </si>
  <si>
    <t>"22222333334444455555666667777788888999990000"</t>
  </si>
  <si>
    <t>V2a:  ATT_MTU-2 = 21 bytes long</t>
  </si>
  <si>
    <t>V2f:  45 bytes long</t>
  </si>
  <si>
    <t>V2e:  44 bytes long</t>
  </si>
  <si>
    <t>V2d:  43 bytes long</t>
  </si>
  <si>
    <t>V2c:  ATT_MTU = 23 bytes long</t>
  </si>
  <si>
    <t>V2b:  ATT_MTU-1 = 22 bytes long</t>
  </si>
  <si>
    <t>"333334444455555666667777788888999990000011111"</t>
  </si>
  <si>
    <t>Large Database 1 meets the following requirements in section 3.3.2 of the GATT TS:</t>
  </si>
  <si>
    <t>"2. A set of three larger test databases, with 16-bit and 128-bit service UUIDs AND characteristic UUIDs in pseudo-random order.  In one, the 16-bit ones are early and 128-bit ones are late."</t>
  </si>
  <si>
    <t>"4. At least one primary service without any include or characteristic declarations which is not located at MAX handle (0xFFFF)"</t>
  </si>
  <si>
    <t>"6. At least one of those has a Secondary Service."</t>
  </si>
  <si>
    <t>"7. Each has at least one each of 16-bit and 128-bit Primary Service UUID with multiple instances."</t>
  </si>
  <si>
    <t>"8. All have some services that are simple, and some that include other services."</t>
  </si>
  <si>
    <t>"9. Each has at least one instance where the handle of an included service is before the handle of the including service."</t>
  </si>
  <si>
    <t>"10. At least one with one or more services that contain Included Services with both 16-bit and 128-bit Service UUIDs."</t>
  </si>
  <si>
    <t>"11. Each has instances of simple characteristics (no descriptors) and complex characteristics (multiple descriptors)"</t>
  </si>
  <si>
    <t>"12. Each has instances of complex characteristics with 16-bit and 128-bit characteristic descriptor UUIDs, and these can be in scrambled order."</t>
  </si>
  <si>
    <t>Small Database meets the following requirements in section 3.3.2 of the GATT TS:</t>
  </si>
  <si>
    <t>Large Database 2 was constructed as follows:</t>
  </si>
  <si>
    <t>2.  Place services with 128-bit UUID at beginning.</t>
  </si>
  <si>
    <t>3.  Place characteristic values and descriptors with 128-bit UUIDs before those with 16-bit UUIDs.</t>
  </si>
  <si>
    <t>"5. At least one of those has a Characteristic at the MAX handle (0xFFFF)"</t>
  </si>
  <si>
    <t>Large Database 2 meets the following requirements in section 3.3.2 of the GATT TS:</t>
  </si>
  <si>
    <t>"2. A set of three larger test databases, with 16-bit and 128-bit service UUIDs AND characteristic UUIDs in pseudo-random order.  [128-bit UUIDs before 16-bit UUIDS]"</t>
  </si>
  <si>
    <t>4.  Place Service E at end with characteristic at handle 0xFFFF</t>
  </si>
  <si>
    <t>3.  Place Serivce E at handle 0xFFFF.</t>
  </si>
  <si>
    <t>2.  Perform random shuffle of 16-bit and 128-bit characteristics and descriptors.</t>
  </si>
  <si>
    <t>Large Database 3 was constructed as follows:</t>
  </si>
  <si>
    <t>Large Database 3 meets the following requirements in section 3.3.2 of the GATT TS:</t>
  </si>
  <si>
    <t>"3. At least one of those has a Primary Service at the MAX handle (0xFFFF)"</t>
  </si>
  <si>
    <t>xxxx</t>
  </si>
  <si>
    <t>"Test Database"</t>
  </si>
  <si>
    <t>Bluetooth GATT</t>
  </si>
  <si>
    <t>Qualification Test Attribute Server Databases</t>
  </si>
  <si>
    <t>version</t>
  </si>
  <si>
    <t>date</t>
  </si>
  <si>
    <t>Contents</t>
  </si>
  <si>
    <t>Tab 1</t>
  </si>
  <si>
    <t>Directions</t>
  </si>
  <si>
    <t>Tab 2</t>
  </si>
  <si>
    <t>Large Database 1</t>
  </si>
  <si>
    <t>Tab 3</t>
  </si>
  <si>
    <t>Large Database 2</t>
  </si>
  <si>
    <t>Tab 4</t>
  </si>
  <si>
    <t>Large Database 3</t>
  </si>
  <si>
    <t>Small Database</t>
  </si>
  <si>
    <t>Tab 5</t>
  </si>
  <si>
    <t>Tab 6</t>
  </si>
  <si>
    <t>Large Database Source</t>
  </si>
  <si>
    <t>Tab 7</t>
  </si>
  <si>
    <t>UUID Table</t>
  </si>
  <si>
    <t>This document contains sample databases for GATT Qualification Interoperability Tests, and some references information.</t>
  </si>
  <si>
    <t>TP/GAD/CL/BV-01-I</t>
  </si>
  <si>
    <t>TP/GAD/CL/BV-02-I</t>
  </si>
  <si>
    <t>TP/GAD/CL/BV-03-I</t>
  </si>
  <si>
    <t>TP/GAD/CL/BV-04-I</t>
  </si>
  <si>
    <t>TP/GAD/CL/BV-05-I</t>
  </si>
  <si>
    <t>TP/GAD/CL/BV-06-I</t>
  </si>
  <si>
    <t>As specified in GATT.TS section 3, and in the referenced test cases, at least 4 test databases shall be used.</t>
  </si>
  <si>
    <t>Future revisions of this document may contain additional test databases in additional tabs.</t>
  </si>
  <si>
    <t>Note</t>
  </si>
  <si>
    <t>Enable macros when using this spreadsheet.</t>
  </si>
  <si>
    <t>Peripheral Privacy Flag</t>
  </si>
  <si>
    <t>Revision History</t>
  </si>
  <si>
    <t>Revision</t>
  </si>
  <si>
    <t>Date</t>
  </si>
  <si>
    <t>Description</t>
  </si>
  <si>
    <t>4.0.0 R00</t>
  </si>
  <si>
    <t>6/28/2010</t>
  </si>
  <si>
    <t>First draft</t>
  </si>
  <si>
    <t>4.0.0 R01</t>
  </si>
  <si>
    <t>Deleted informational tabs, added Svc Changed ch.</t>
  </si>
  <si>
    <t>4.0.0 R2</t>
  </si>
  <si>
    <t>6/29/2010</t>
  </si>
  <si>
    <t xml:space="preserve">4.0.0 R3 </t>
  </si>
  <si>
    <t>Added note about enabling macros; corrected a comment</t>
  </si>
  <si>
    <t>4.0.0 R3</t>
  </si>
  <si>
    <t>Same as before just file name change</t>
  </si>
  <si>
    <t>4.0.0 R4</t>
  </si>
  <si>
    <t>7/01/2010</t>
  </si>
  <si>
    <t>Some comments/fixes to the database r3 (r4 attached):
- Service B.2, C.1 (all tabs)
  Set bit 7 to 1 so that properties field of service indicates extended properties.
- Service B.3 (all tabs)
  Set permission field IND/NOT to "Y" as value can be indicated and notified (consistent with properties = 0x3E and comment field).
- Large database 2, handle 0x0011
  End group handle of included service should be 0x0034 instead of 0x0032.
- Large database 2, handle 0x0061
  End group handle of included service should be 0x0034 instead of 0x0032.
- Large database 2, handle 0x0062
  End group handle of included service should be 0x0016 instead of 0x0015.
- Service changed characteristic (all three large databases)
  Set permissions to read="N", write="N", IND/NOT="Y".
- Large Database Source, Service Changes (handle=0x0012)
  Properties = 0x20 (consistent with other instances).
The database contains no aggregate characteristics as required by GATT TS 3.3.1, bullet 7. On the other hand, aggregates play no role in discovery. Why are they defined in the database requirements? Same for variety of formats, units, etc. Minor formatting changes and repared the duplicate handle check mechanism.</t>
  </si>
  <si>
    <t>Service F</t>
  </si>
  <si>
    <t>Value V14</t>
  </si>
  <si>
    <t>Value V15</t>
  </si>
  <si>
    <t>Value V16</t>
  </si>
  <si>
    <t>A00F</t>
  </si>
  <si>
    <t>B00E</t>
  </si>
  <si>
    <t>B00F</t>
  </si>
  <si>
    <t>B010</t>
  </si>
  <si>
    <t>unsigned 8-bit integer</t>
  </si>
  <si>
    <t>0x65</t>
  </si>
  <si>
    <t>UTF-8 string</t>
  </si>
  <si>
    <t>unitless, no description</t>
  </si>
  <si>
    <t>AUTH
WR</t>
  </si>
  <si>
    <t>Value V17</t>
  </si>
  <si>
    <t>B011</t>
  </si>
  <si>
    <t>0x12</t>
  </si>
  <si>
    <t>IND</t>
  </si>
  <si>
    <t>NOT</t>
  </si>
  <si>
    <t>Authentication needed in order to access it</t>
  </si>
  <si>
    <t>Authorization needed in order to access it</t>
  </si>
  <si>
    <t>B</t>
  </si>
  <si>
    <t>Encryption needed in order to access it</t>
  </si>
  <si>
    <t>E</t>
  </si>
  <si>
    <t>4.0.2 R0</t>
  </si>
  <si>
    <t>B012</t>
  </si>
  <si>
    <t>B013</t>
  </si>
  <si>
    <t>B014</t>
  </si>
  <si>
    <t>Long descriptor V2D1</t>
  </si>
  <si>
    <t>Long descriptor V2D2</t>
  </si>
  <si>
    <t>Long descriptor V2D3</t>
  </si>
  <si>
    <t>0x11223344556677889900123456789012345678901234567890123456789011223344556677889900112233</t>
  </si>
  <si>
    <t>0x1122334455667788990012345678901234567890123456789012345678901122334455667788990011223344</t>
  </si>
  <si>
    <t>V2D2: 44 bytes Octet</t>
  </si>
  <si>
    <t>0x112233445566778899001234567890123456789012345678901234567890112233445566778899001122334455</t>
  </si>
  <si>
    <t>V2D3: 45 bytes Octet</t>
  </si>
  <si>
    <t>V2D1: 43 bytes Octet</t>
  </si>
  <si>
    <t>Descriptor V8D1</t>
  </si>
  <si>
    <t>B015</t>
  </si>
  <si>
    <t>Descriptor V8D2</t>
  </si>
  <si>
    <t>B016</t>
  </si>
  <si>
    <t>Descriptor V8D3</t>
  </si>
  <si>
    <t>B017</t>
  </si>
  <si>
    <t>0x02</t>
  </si>
  <si>
    <t>0x1122334455667788990012345678901234567890112233</t>
  </si>
  <si>
    <t>4.0.2 R1</t>
  </si>
  <si>
    <t>Add, change and change file name.
- Add security attribute requirements of 'A', 'B' and 'E' in large database 1
- Add signed write, aggregate format characteristics in large database 1
- Separate IND/NOT column.
- File name changed to cover not only discovery.</t>
  </si>
  <si>
    <t>Add and change properties flag for security test cases.
- Change service changed characteristics attribute and properties flag in all databases.
- Add short/long descriptors for security requirement in large database 1.
- Add include into secondary service for TSE#4787</t>
  </si>
  <si>
    <t>V2d:  44 bytes long</t>
  </si>
  <si>
    <t>V2d:  45 bytes long</t>
  </si>
  <si>
    <t>0x11223344556677889900123456789012345678901122</t>
  </si>
  <si>
    <t>0x112233445566778899001234567890123456789011</t>
  </si>
  <si>
    <t>V2D3: 23 bytes Octet</t>
  </si>
  <si>
    <t>V2D2: 22 bytes Octet</t>
  </si>
  <si>
    <t>V2D1: 21 bytes Octet</t>
  </si>
  <si>
    <t>0x0000</t>
  </si>
  <si>
    <t>Broadcast disabled</t>
  </si>
  <si>
    <t>- Changed Name Space field in all Characteristic Presentation Format to 0x01
- Changed Descrption field in all Characteristic Presentation Format to 0x0000
- Changed attribute permissions for all "Service Changed" to "Not Readable, Not Writeable"</t>
  </si>
  <si>
    <t>- Changed properties flag to 0x20 for all "Service Changed"
- Add Server Characteristic Cpnfiguration
- Add "read not permitted" long descriptor Characteristic
- Add "write not permitted" long descriptor characteristic</t>
  </si>
  <si>
    <t>"Length is "</t>
  </si>
  <si>
    <t>- Add service changed in small database
- Changed format to 0x19 of V14 value "Length is " in large database 1</t>
  </si>
  <si>
    <t>- modify write is not premitted characteristic to long characteristic in large database 1</t>
  </si>
  <si>
    <t>- fixed handle for all "Service Changed"</t>
  </si>
  <si>
    <t>4.0.2 R2</t>
  </si>
  <si>
    <t>"11111222223333344444555556666677777888889999900000111112222233333444445555566666777778888899999000001111122222333334444455555666667777788888999990000011111222223333344444555556666677777888889999900000111112222233333444445555566666777778888899999000001111122222333334444455555666667777788888999990000011111222223333344444555556666677777888889999900000111112222233333444445555566666777778888899999000001111122222333334444455555666667777788888999990000011111222223333344444555556666677777888889999900000123456789012"</t>
  </si>
  <si>
    <t>512 bytes string</t>
  </si>
  <si>
    <t>These databases shall be used for the following test cases in GATT.TS 4.0.0 and later:</t>
  </si>
  <si>
    <t>0x1234</t>
  </si>
  <si>
    <t>0x01020304</t>
  </si>
  <si>
    <t>unsigned 16-bit integer</t>
  </si>
  <si>
    <t>unsigned 32-bit integer</t>
  </si>
  <si>
    <t>unit=area(square meter), descr=second</t>
  </si>
  <si>
    <t>unit=length(meter), descr=first</t>
  </si>
  <si>
    <t>unit=volume(cubic meter), descr=third</t>
  </si>
  <si>
    <t>4.0.3 R0</t>
  </si>
  <si>
    <t>- update long characteristic value to 512 bytes for TSE 4744</t>
  </si>
  <si>
    <t>- Add two more presentation formats for the aggregate format to use fixed size values</t>
  </si>
  <si>
    <t>- change include service handle range to avoid dead lock of include back itself on large database1 and large database2 but leave database3 for circular testing</t>
  </si>
  <si>
    <t>4.0.3 R1</t>
  </si>
  <si>
    <t>- Add missing UUID at large database 1 handle 2 and the large database 2 at handle 0x0041</t>
  </si>
  <si>
    <t>4.0.3 R2</t>
  </si>
  <si>
    <t>- Remove circular include at large database3 handle 0x81</t>
  </si>
  <si>
    <t>4.1.0</t>
  </si>
  <si>
    <t>- Add Client Charcteristic Configuration into service changed characteristic per CORE 4.1 requirement</t>
  </si>
  <si>
    <t xml:space="preserve"> Correct the include end handle range in database2 handle 0x0062</t>
  </si>
  <si>
    <t xml:space="preserve"> Add client characteristic configuration into the  V6 characteristic handle 0x0052 on large database 1 which is wrong on support both notification and indication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</si>
</sst>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yy;@"/>
  </numFmts>
  <fonts count="20" x14ac:knownFonts="1">
    <font>
      <sz val="10"/>
      <name val="Arial"/>
    </font>
    <font>
      <sz val="10"/>
      <name val="Arial"/>
      <family val="2"/>
    </font>
    <font>
      <b/>
      <sz val="10"/>
      <name val="Arial"/>
      <family val="2"/>
    </font>
    <font>
      <sz val="10"/>
      <name val="Arial"/>
      <family val="2"/>
    </font>
    <font>
      <sz val="8"/>
      <name val="Arial"/>
      <family val="2"/>
    </font>
    <font>
      <sz val="11"/>
      <name val="Calibri"/>
      <family val="2"/>
    </font>
    <font>
      <i/>
      <sz val="11"/>
      <name val="Calibri"/>
      <family val="2"/>
    </font>
    <font>
      <i/>
      <sz val="11"/>
      <color indexed="8"/>
      <name val="Calibri"/>
      <family val="2"/>
    </font>
    <font>
      <sz val="11"/>
      <color indexed="8"/>
      <name val="Calibri"/>
      <family val="2"/>
    </font>
    <font>
      <vertAlign val="superscript"/>
      <sz val="11"/>
      <name val="Calibri"/>
      <family val="2"/>
    </font>
    <font>
      <vertAlign val="superscript"/>
      <sz val="11"/>
      <color indexed="8"/>
      <name val="Calibri"/>
      <family val="2"/>
    </font>
    <font>
      <vertAlign val="subscript"/>
      <sz val="11"/>
      <color indexed="8"/>
      <name val="Calibri"/>
      <family val="2"/>
    </font>
    <font>
      <i/>
      <vertAlign val="superscript"/>
      <sz val="11"/>
      <name val="Calibri"/>
      <family val="2"/>
    </font>
    <font>
      <i/>
      <vertAlign val="superscript"/>
      <sz val="11"/>
      <color indexed="8"/>
      <name val="Calibri"/>
      <family val="2"/>
    </font>
    <font>
      <vertAlign val="subscript"/>
      <sz val="11"/>
      <name val="Calibri"/>
      <family val="2"/>
    </font>
    <font>
      <b/>
      <sz val="10"/>
      <color indexed="9"/>
      <name val="Arial"/>
      <family val="2"/>
    </font>
    <font>
      <sz val="11"/>
      <name val="Arial"/>
      <family val="2"/>
    </font>
    <font>
      <sz val="10.5"/>
      <name val="Arial"/>
      <family val="2"/>
    </font>
    <font>
      <sz val="8"/>
      <color rgb="FF4C4C4C"/>
      <name val="Verdana"/>
      <family val="2"/>
    </font>
    <font>
      <sz val="8"/>
      <name val="Verdana"/>
      <family val="2"/>
    </font>
  </fonts>
  <fills count="8">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indexed="15"/>
        <bgColor indexed="64"/>
      </patternFill>
    </fill>
    <fill>
      <patternFill patternType="solid">
        <fgColor indexed="9"/>
        <bgColor indexed="64"/>
      </patternFill>
    </fill>
    <fill>
      <patternFill patternType="solid">
        <fgColor theme="0"/>
        <bgColor indexed="64"/>
      </patternFill>
    </fill>
    <fill>
      <patternFill patternType="solid">
        <fgColor rgb="FFFFFF99"/>
        <bgColor indexed="64"/>
      </patternFill>
    </fill>
  </fills>
  <borders count="18">
    <border>
      <left/>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indexed="64"/>
      </right>
      <top/>
      <bottom/>
      <diagonal/>
    </border>
    <border>
      <left/>
      <right/>
      <top/>
      <bottom style="thick">
        <color auto="1"/>
      </bottom>
      <diagonal/>
    </border>
    <border>
      <left/>
      <right style="thick">
        <color indexed="64"/>
      </right>
      <top/>
      <bottom style="thick">
        <color auto="1"/>
      </bottom>
      <diagonal/>
    </border>
  </borders>
  <cellStyleXfs count="1">
    <xf numFmtId="0" fontId="0" fillId="0" borderId="0"/>
  </cellStyleXfs>
  <cellXfs count="130">
    <xf numFmtId="0" fontId="0" fillId="0" borderId="0" xfId="0"/>
    <xf numFmtId="0" fontId="3" fillId="0" borderId="0" xfId="0" applyFont="1" applyBorder="1" applyAlignment="1">
      <alignment horizontal="center" vertical="top" wrapText="1"/>
    </xf>
    <xf numFmtId="0" fontId="2" fillId="0" borderId="0" xfId="0" applyFont="1" applyBorder="1" applyAlignment="1">
      <alignment vertical="top"/>
    </xf>
    <xf numFmtId="0" fontId="3" fillId="0" borderId="0" xfId="0" applyFont="1" applyBorder="1" applyAlignment="1">
      <alignment vertical="top"/>
    </xf>
    <xf numFmtId="0" fontId="3" fillId="0" borderId="0" xfId="0" applyFont="1" applyBorder="1" applyAlignment="1">
      <alignment vertical="top" wrapText="1"/>
    </xf>
    <xf numFmtId="0" fontId="3" fillId="2" borderId="0" xfId="0" applyFont="1" applyFill="1" applyBorder="1" applyAlignment="1">
      <alignment horizontal="center" vertical="top" wrapText="1"/>
    </xf>
    <xf numFmtId="0" fontId="3" fillId="2" borderId="0" xfId="0" applyFont="1" applyFill="1" applyBorder="1" applyAlignment="1">
      <alignment vertical="top"/>
    </xf>
    <xf numFmtId="0" fontId="3" fillId="2" borderId="0" xfId="0" applyFont="1" applyFill="1" applyBorder="1" applyAlignment="1">
      <alignment vertical="top" wrapText="1"/>
    </xf>
    <xf numFmtId="0" fontId="3" fillId="3" borderId="1" xfId="0" applyFont="1" applyFill="1" applyBorder="1" applyAlignment="1">
      <alignment horizontal="center" vertical="top" wrapText="1"/>
    </xf>
    <xf numFmtId="0" fontId="3" fillId="3" borderId="1" xfId="0" applyFont="1" applyFill="1" applyBorder="1" applyAlignment="1">
      <alignment vertical="top"/>
    </xf>
    <xf numFmtId="0" fontId="3" fillId="3" borderId="1" xfId="0" applyFont="1" applyFill="1" applyBorder="1" applyAlignment="1">
      <alignment vertical="top" wrapText="1"/>
    </xf>
    <xf numFmtId="0" fontId="2" fillId="0" borderId="1" xfId="0" applyFont="1" applyBorder="1" applyAlignment="1">
      <alignment vertical="top"/>
    </xf>
    <xf numFmtId="0" fontId="2" fillId="0" borderId="1" xfId="0" applyFont="1" applyBorder="1" applyAlignment="1">
      <alignment vertical="top" wrapText="1"/>
    </xf>
    <xf numFmtId="0" fontId="3" fillId="0" borderId="0" xfId="0" applyFont="1" applyFill="1" applyBorder="1" applyAlignment="1">
      <alignment horizontal="center" vertical="top" wrapText="1"/>
    </xf>
    <xf numFmtId="49" fontId="0" fillId="0" borderId="0" xfId="0" applyNumberFormat="1"/>
    <xf numFmtId="0" fontId="0" fillId="0" borderId="0" xfId="0" applyAlignment="1">
      <alignment horizontal="center"/>
    </xf>
    <xf numFmtId="0" fontId="2" fillId="4" borderId="0" xfId="0" applyFont="1" applyFill="1" applyAlignment="1">
      <alignment horizontal="right"/>
    </xf>
    <xf numFmtId="0" fontId="2" fillId="4" borderId="0" xfId="0" applyFont="1" applyFill="1"/>
    <xf numFmtId="0" fontId="2" fillId="4" borderId="0" xfId="0" applyFont="1" applyFill="1" applyAlignment="1">
      <alignment horizontal="center"/>
    </xf>
    <xf numFmtId="0" fontId="0" fillId="3" borderId="0" xfId="0" applyFill="1"/>
    <xf numFmtId="0" fontId="2" fillId="3" borderId="0" xfId="0" applyFont="1" applyFill="1"/>
    <xf numFmtId="0" fontId="2" fillId="3" borderId="0" xfId="0" applyFont="1" applyFill="1" applyAlignment="1">
      <alignment horizontal="center"/>
    </xf>
    <xf numFmtId="0" fontId="0" fillId="3" borderId="0" xfId="0" applyFill="1" applyAlignment="1">
      <alignment horizontal="center"/>
    </xf>
    <xf numFmtId="0" fontId="3" fillId="0" borderId="0" xfId="0" applyFont="1" applyFill="1" applyBorder="1" applyAlignment="1">
      <alignment vertical="top"/>
    </xf>
    <xf numFmtId="0" fontId="0" fillId="4" borderId="0" xfId="0" applyFill="1"/>
    <xf numFmtId="0" fontId="0" fillId="4" borderId="0" xfId="0" applyFill="1" applyAlignment="1">
      <alignment horizontal="center"/>
    </xf>
    <xf numFmtId="0" fontId="0" fillId="0" borderId="0" xfId="0" applyAlignment="1">
      <alignment vertical="top"/>
    </xf>
    <xf numFmtId="0" fontId="3" fillId="0" borderId="0" xfId="0" applyFont="1" applyBorder="1" applyAlignment="1">
      <alignment horizontal="center" vertical="top"/>
    </xf>
    <xf numFmtId="0" fontId="2" fillId="0" borderId="1" xfId="0" applyFont="1" applyBorder="1" applyAlignment="1">
      <alignment horizontal="center" vertical="top" wrapText="1"/>
    </xf>
    <xf numFmtId="0" fontId="3" fillId="3" borderId="1" xfId="0" applyFont="1" applyFill="1" applyBorder="1" applyAlignment="1">
      <alignment horizontal="center" vertical="top"/>
    </xf>
    <xf numFmtId="0" fontId="3" fillId="2" borderId="0" xfId="0" applyFont="1" applyFill="1" applyBorder="1" applyAlignment="1">
      <alignment horizontal="center" vertical="top"/>
    </xf>
    <xf numFmtId="0" fontId="2" fillId="4" borderId="0" xfId="0" applyFont="1" applyFill="1" applyBorder="1" applyAlignment="1">
      <alignment horizontal="center" vertical="top" wrapText="1"/>
    </xf>
    <xf numFmtId="0" fontId="2" fillId="4" borderId="0" xfId="0" applyFont="1" applyFill="1" applyBorder="1" applyAlignment="1">
      <alignment horizontal="center" vertical="top"/>
    </xf>
    <xf numFmtId="0" fontId="3" fillId="4" borderId="0" xfId="0" applyFont="1" applyFill="1" applyBorder="1" applyAlignment="1">
      <alignment horizontal="center" vertical="top"/>
    </xf>
    <xf numFmtId="0" fontId="0" fillId="2" borderId="0" xfId="0" applyFill="1" applyBorder="1" applyAlignment="1">
      <alignment vertical="top"/>
    </xf>
    <xf numFmtId="0" fontId="0" fillId="2" borderId="0" xfId="0" applyFill="1" applyAlignment="1">
      <alignment vertical="top"/>
    </xf>
    <xf numFmtId="0" fontId="3" fillId="0" borderId="0" xfId="0" applyFont="1" applyBorder="1" applyAlignment="1">
      <alignment horizontal="left" vertical="top" wrapText="1"/>
    </xf>
    <xf numFmtId="0" fontId="2" fillId="4" borderId="0" xfId="0" applyFont="1" applyFill="1" applyBorder="1" applyAlignment="1">
      <alignment horizontal="right" vertical="top"/>
    </xf>
    <xf numFmtId="0" fontId="2" fillId="4" borderId="0" xfId="0" applyFont="1" applyFill="1" applyBorder="1" applyAlignment="1">
      <alignment vertical="top" wrapText="1"/>
    </xf>
    <xf numFmtId="0" fontId="2" fillId="4" borderId="0" xfId="0" applyFont="1" applyFill="1" applyBorder="1" applyAlignment="1">
      <alignment vertical="top"/>
    </xf>
    <xf numFmtId="0" fontId="0" fillId="3" borderId="1" xfId="0" applyFill="1" applyBorder="1" applyAlignment="1">
      <alignment vertical="top"/>
    </xf>
    <xf numFmtId="0" fontId="3" fillId="0" borderId="0" xfId="0" applyFont="1" applyBorder="1" applyAlignment="1">
      <alignment horizontal="left" vertical="top"/>
    </xf>
    <xf numFmtId="0" fontId="2" fillId="0" borderId="0" xfId="0" applyFont="1" applyBorder="1" applyAlignment="1">
      <alignment vertical="top" wrapText="1"/>
    </xf>
    <xf numFmtId="0" fontId="3" fillId="4" borderId="0" xfId="0" applyFont="1" applyFill="1" applyBorder="1" applyAlignment="1">
      <alignment horizontal="center" vertical="top" wrapText="1"/>
    </xf>
    <xf numFmtId="49" fontId="0" fillId="0" borderId="0" xfId="0" applyNumberFormat="1" applyAlignment="1">
      <alignment horizontal="center"/>
    </xf>
    <xf numFmtId="0" fontId="0" fillId="0" borderId="0" xfId="0" applyAlignment="1">
      <alignment horizontal="left"/>
    </xf>
    <xf numFmtId="0" fontId="5" fillId="0" borderId="0" xfId="0" applyFont="1" applyBorder="1" applyAlignment="1">
      <alignment vertical="top" wrapText="1"/>
    </xf>
    <xf numFmtId="0" fontId="6" fillId="0" borderId="0" xfId="0" applyFont="1" applyBorder="1" applyAlignment="1">
      <alignment vertical="top" wrapText="1"/>
    </xf>
    <xf numFmtId="0" fontId="7" fillId="0" borderId="0" xfId="0" applyFont="1" applyBorder="1" applyAlignment="1">
      <alignment vertical="top" wrapText="1"/>
    </xf>
    <xf numFmtId="0" fontId="8" fillId="0" borderId="0" xfId="0" applyFont="1" applyBorder="1" applyAlignment="1">
      <alignment vertical="top" wrapText="1"/>
    </xf>
    <xf numFmtId="0" fontId="10" fillId="0" borderId="0" xfId="0" applyFont="1" applyBorder="1" applyAlignment="1">
      <alignment vertical="top" wrapText="1"/>
    </xf>
    <xf numFmtId="0" fontId="9" fillId="0" borderId="0" xfId="0" applyFont="1" applyBorder="1" applyAlignment="1">
      <alignment vertical="top" wrapText="1"/>
    </xf>
    <xf numFmtId="0" fontId="6" fillId="0" borderId="0" xfId="0" applyFont="1" applyBorder="1" applyAlignment="1">
      <alignment horizontal="left" vertical="top" wrapText="1"/>
    </xf>
    <xf numFmtId="0" fontId="5" fillId="0" borderId="0" xfId="0" applyFont="1" applyBorder="1" applyAlignment="1">
      <alignment horizontal="left" vertical="top" wrapText="1"/>
    </xf>
    <xf numFmtId="0" fontId="0" fillId="0" borderId="0" xfId="0" applyFill="1" applyBorder="1" applyAlignment="1">
      <alignment vertical="top"/>
    </xf>
    <xf numFmtId="0" fontId="3" fillId="0" borderId="0" xfId="0" applyFont="1" applyFill="1" applyBorder="1" applyAlignment="1">
      <alignment vertical="top" wrapText="1"/>
    </xf>
    <xf numFmtId="0" fontId="3" fillId="0" borderId="0" xfId="0" applyFont="1" applyFill="1" applyBorder="1" applyAlignment="1">
      <alignment horizontal="left" vertical="top" wrapText="1"/>
    </xf>
    <xf numFmtId="0" fontId="0" fillId="0" borderId="0" xfId="0" applyFill="1"/>
    <xf numFmtId="0" fontId="0" fillId="0" borderId="0" xfId="0" applyFill="1" applyAlignment="1">
      <alignment horizontal="center"/>
    </xf>
    <xf numFmtId="0" fontId="15" fillId="0" borderId="2" xfId="0" applyFont="1" applyBorder="1"/>
    <xf numFmtId="0" fontId="15" fillId="5" borderId="3" xfId="0" applyFont="1" applyFill="1" applyBorder="1" applyAlignment="1">
      <alignment horizontal="center" wrapText="1"/>
    </xf>
    <xf numFmtId="0" fontId="0" fillId="0" borderId="0" xfId="0" applyAlignment="1">
      <alignment horizontal="center" vertical="top"/>
    </xf>
    <xf numFmtId="49" fontId="0" fillId="0" borderId="0" xfId="0" applyNumberFormat="1" applyAlignment="1">
      <alignment horizontal="center" vertical="top"/>
    </xf>
    <xf numFmtId="0" fontId="3" fillId="0" borderId="0" xfId="0" applyFont="1"/>
    <xf numFmtId="0" fontId="3" fillId="3" borderId="0" xfId="0" applyFont="1" applyFill="1"/>
    <xf numFmtId="0" fontId="1" fillId="0" borderId="0" xfId="0" applyFont="1" applyBorder="1" applyAlignment="1">
      <alignment vertical="top" wrapText="1"/>
    </xf>
    <xf numFmtId="0" fontId="1" fillId="0" borderId="0" xfId="0" applyFont="1"/>
    <xf numFmtId="0" fontId="1" fillId="3" borderId="1" xfId="0" applyFont="1" applyFill="1" applyBorder="1" applyAlignment="1">
      <alignment vertical="top"/>
    </xf>
    <xf numFmtId="0" fontId="1" fillId="0" borderId="0" xfId="0" applyFont="1" applyBorder="1" applyAlignment="1">
      <alignment vertical="top"/>
    </xf>
    <xf numFmtId="0" fontId="1" fillId="0" borderId="0" xfId="0" applyFont="1" applyBorder="1" applyAlignment="1">
      <alignment horizontal="left" vertical="top" wrapText="1"/>
    </xf>
    <xf numFmtId="0" fontId="1" fillId="0" borderId="0" xfId="0" applyFont="1" applyFill="1" applyBorder="1" applyAlignment="1">
      <alignment vertical="top"/>
    </xf>
    <xf numFmtId="0" fontId="1" fillId="0" borderId="0" xfId="0" applyFont="1" applyBorder="1" applyAlignment="1">
      <alignment horizontal="center" vertical="top" wrapText="1"/>
    </xf>
    <xf numFmtId="0" fontId="1" fillId="2" borderId="0" xfId="0" applyFont="1" applyFill="1" applyBorder="1" applyAlignment="1">
      <alignment horizontal="center" vertical="top"/>
    </xf>
    <xf numFmtId="0" fontId="1" fillId="0" borderId="0" xfId="0" applyFont="1" applyBorder="1" applyAlignment="1">
      <alignment horizontal="center" vertical="top"/>
    </xf>
    <xf numFmtId="0" fontId="1" fillId="0" borderId="0" xfId="0" applyFont="1" applyFill="1" applyBorder="1" applyAlignment="1">
      <alignment vertical="top" wrapText="1"/>
    </xf>
    <xf numFmtId="0" fontId="1" fillId="2" borderId="0" xfId="0" applyFont="1" applyFill="1" applyBorder="1" applyAlignment="1">
      <alignment vertical="top" wrapText="1"/>
    </xf>
    <xf numFmtId="0" fontId="1" fillId="0" borderId="0" xfId="0" applyFont="1" applyBorder="1" applyAlignment="1">
      <alignment horizontal="left" vertical="top"/>
    </xf>
    <xf numFmtId="0" fontId="1" fillId="3" borderId="0" xfId="0" applyFont="1" applyFill="1" applyAlignment="1">
      <alignment horizontal="center"/>
    </xf>
    <xf numFmtId="0" fontId="2" fillId="0" borderId="0" xfId="0" applyFont="1"/>
    <xf numFmtId="0" fontId="16" fillId="0" borderId="0" xfId="0" applyFont="1"/>
    <xf numFmtId="0" fontId="17" fillId="0" borderId="0" xfId="0" applyFont="1"/>
    <xf numFmtId="164" fontId="1" fillId="0" borderId="0" xfId="0" applyNumberFormat="1" applyFont="1"/>
    <xf numFmtId="0" fontId="2" fillId="0" borderId="4" xfId="0" applyFont="1" applyBorder="1"/>
    <xf numFmtId="0" fontId="0" fillId="0" borderId="5" xfId="0" applyBorder="1"/>
    <xf numFmtId="0" fontId="0" fillId="0" borderId="6" xfId="0" applyBorder="1"/>
    <xf numFmtId="0" fontId="2" fillId="0" borderId="7" xfId="0" applyFont="1" applyBorder="1"/>
    <xf numFmtId="0" fontId="2" fillId="0" borderId="8" xfId="0" applyFont="1" applyBorder="1"/>
    <xf numFmtId="0" fontId="2" fillId="0" borderId="9" xfId="0" applyFont="1" applyBorder="1"/>
    <xf numFmtId="0" fontId="18" fillId="0" borderId="10" xfId="0" applyFont="1" applyBorder="1"/>
    <xf numFmtId="0" fontId="18" fillId="0" borderId="0" xfId="0" applyFont="1" applyBorder="1"/>
    <xf numFmtId="0" fontId="18" fillId="0" borderId="11" xfId="0" applyFont="1" applyBorder="1"/>
    <xf numFmtId="0" fontId="18" fillId="0" borderId="12" xfId="0" applyFont="1" applyBorder="1"/>
    <xf numFmtId="0" fontId="18" fillId="0" borderId="13" xfId="0" applyFont="1" applyBorder="1"/>
    <xf numFmtId="0" fontId="18" fillId="0" borderId="14" xfId="0" applyFont="1" applyBorder="1" applyAlignment="1">
      <alignment wrapText="1"/>
    </xf>
    <xf numFmtId="0" fontId="1" fillId="4" borderId="0" xfId="0" applyFont="1" applyFill="1" applyBorder="1" applyAlignment="1">
      <alignment horizontal="center" vertical="top" wrapText="1"/>
    </xf>
    <xf numFmtId="0" fontId="1" fillId="3" borderId="1" xfId="0" applyFont="1" applyFill="1" applyBorder="1" applyAlignment="1">
      <alignment horizontal="center" vertical="top"/>
    </xf>
    <xf numFmtId="0" fontId="18" fillId="0" borderId="10" xfId="0" applyFont="1" applyFill="1" applyBorder="1"/>
    <xf numFmtId="0" fontId="18" fillId="0" borderId="11" xfId="0" applyFont="1" applyFill="1" applyBorder="1" applyAlignment="1">
      <alignment wrapText="1"/>
    </xf>
    <xf numFmtId="14" fontId="19" fillId="0" borderId="0" xfId="0" applyNumberFormat="1" applyFont="1"/>
    <xf numFmtId="0" fontId="1" fillId="0" borderId="0" xfId="0" applyFont="1" applyAlignment="1">
      <alignment horizontal="center"/>
    </xf>
    <xf numFmtId="0" fontId="18" fillId="0" borderId="11" xfId="0" applyFont="1" applyBorder="1" applyAlignment="1">
      <alignment wrapText="1"/>
    </xf>
    <xf numFmtId="14" fontId="18" fillId="0" borderId="0" xfId="0" applyNumberFormat="1" applyFont="1" applyBorder="1"/>
    <xf numFmtId="0" fontId="1" fillId="0" borderId="0" xfId="0" applyFont="1" applyFill="1" applyBorder="1" applyAlignment="1">
      <alignment horizontal="left" vertical="top" wrapText="1"/>
    </xf>
    <xf numFmtId="0" fontId="3" fillId="3" borderId="0" xfId="0" applyFont="1" applyFill="1" applyBorder="1" applyAlignment="1">
      <alignment vertical="top" wrapText="1"/>
    </xf>
    <xf numFmtId="0" fontId="0" fillId="6" borderId="0" xfId="0" applyFill="1" applyBorder="1" applyAlignment="1">
      <alignment vertical="top"/>
    </xf>
    <xf numFmtId="0" fontId="3" fillId="6" borderId="0" xfId="0" applyFont="1" applyFill="1" applyBorder="1" applyAlignment="1">
      <alignment horizontal="center" vertical="top" wrapText="1"/>
    </xf>
    <xf numFmtId="0" fontId="1" fillId="6" borderId="0" xfId="0" applyFont="1" applyFill="1" applyBorder="1" applyAlignment="1">
      <alignment vertical="top"/>
    </xf>
    <xf numFmtId="0" fontId="1" fillId="6" borderId="0" xfId="0" applyFont="1" applyFill="1" applyBorder="1" applyAlignment="1">
      <alignment horizontal="left" vertical="top" wrapText="1"/>
    </xf>
    <xf numFmtId="0" fontId="1" fillId="6" borderId="0" xfId="0" applyFont="1" applyFill="1" applyBorder="1" applyAlignment="1">
      <alignment horizontal="center" vertical="top" wrapText="1"/>
    </xf>
    <xf numFmtId="0" fontId="3" fillId="6" borderId="0" xfId="0" applyFont="1" applyFill="1" applyBorder="1" applyAlignment="1">
      <alignment vertical="top" wrapText="1"/>
    </xf>
    <xf numFmtId="0" fontId="3" fillId="6" borderId="0" xfId="0" applyFont="1" applyFill="1" applyBorder="1" applyAlignment="1">
      <alignment vertical="top"/>
    </xf>
    <xf numFmtId="0" fontId="1" fillId="2" borderId="0" xfId="0" applyFont="1" applyFill="1" applyBorder="1" applyAlignment="1">
      <alignment vertical="top"/>
    </xf>
    <xf numFmtId="0" fontId="0" fillId="7" borderId="0" xfId="0" applyFill="1" applyAlignment="1">
      <alignment vertical="top"/>
    </xf>
    <xf numFmtId="0" fontId="3" fillId="7" borderId="0" xfId="0" applyFont="1" applyFill="1" applyBorder="1" applyAlignment="1">
      <alignment horizontal="center" vertical="top" wrapText="1"/>
    </xf>
    <xf numFmtId="0" fontId="3" fillId="7" borderId="0" xfId="0" applyFont="1" applyFill="1" applyBorder="1" applyAlignment="1">
      <alignment vertical="top"/>
    </xf>
    <xf numFmtId="0" fontId="1" fillId="7" borderId="0" xfId="0" applyFont="1" applyFill="1" applyBorder="1" applyAlignment="1">
      <alignment vertical="top"/>
    </xf>
    <xf numFmtId="0" fontId="1" fillId="7" borderId="0" xfId="0" applyFont="1" applyFill="1" applyBorder="1" applyAlignment="1">
      <alignment vertical="top" wrapText="1"/>
    </xf>
    <xf numFmtId="0" fontId="1" fillId="7" borderId="0" xfId="0" applyFont="1" applyFill="1" applyBorder="1" applyAlignment="1">
      <alignment horizontal="center" vertical="top" wrapText="1"/>
    </xf>
    <xf numFmtId="0" fontId="1" fillId="7" borderId="0" xfId="0" applyFont="1" applyFill="1" applyBorder="1" applyAlignment="1">
      <alignment horizontal="left" vertical="top" wrapText="1"/>
    </xf>
    <xf numFmtId="0" fontId="18" fillId="0" borderId="11" xfId="0" quotePrefix="1" applyFont="1" applyFill="1" applyBorder="1" applyAlignment="1">
      <alignment wrapText="1"/>
    </xf>
    <xf numFmtId="0" fontId="19" fillId="0" borderId="15" xfId="0" quotePrefix="1" applyFont="1" applyBorder="1" applyAlignment="1">
      <alignment wrapText="1"/>
    </xf>
    <xf numFmtId="0" fontId="19" fillId="0" borderId="15" xfId="0" quotePrefix="1" applyFont="1" applyBorder="1"/>
    <xf numFmtId="0" fontId="19" fillId="0" borderId="0" xfId="0" applyFont="1"/>
    <xf numFmtId="0" fontId="0" fillId="0" borderId="16" xfId="0" applyBorder="1"/>
    <xf numFmtId="14" fontId="19" fillId="0" borderId="16" xfId="0" applyNumberFormat="1" applyFont="1" applyBorder="1"/>
    <xf numFmtId="0" fontId="19" fillId="0" borderId="17" xfId="0" quotePrefix="1" applyFont="1" applyBorder="1" applyAlignment="1">
      <alignment wrapText="1"/>
    </xf>
    <xf numFmtId="0" fontId="0" fillId="0" borderId="0" xfId="0" applyBorder="1"/>
    <xf numFmtId="0" fontId="19" fillId="0" borderId="0" xfId="0" quotePrefix="1" applyFont="1"/>
    <xf numFmtId="0" fontId="19" fillId="0" borderId="0" xfId="0" quotePrefix="1" applyFont="1" applyFill="1" applyBorder="1"/>
    <xf numFmtId="14" fontId="0" fillId="0" borderId="0" xfId="0" applyNumberFormat="1"/>
  </cellXfs>
  <cellStyles count="1">
    <cellStyle name="Normal" xfId="0" builtinId="0"/>
  </cellStyles>
  <dxfs count="7">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
      <font>
        <condense val="0"/>
        <extend val="0"/>
        <color indexed="9"/>
      </font>
      <fill>
        <patternFill>
          <bgColor indexed="10"/>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SPEC\GATT\ULP%20Packet%20Structure\LE_packet_structure_D09r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cket Lengths"/>
      <sheetName val="Packet Types Diagram"/>
    </sheet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9"/>
  <sheetViews>
    <sheetView tabSelected="1" workbookViewId="0">
      <selection activeCell="C30" sqref="C30"/>
    </sheetView>
  </sheetViews>
  <sheetFormatPr defaultColWidth="9.140625" defaultRowHeight="12.75" x14ac:dyDescent="0.2"/>
  <cols>
    <col min="1" max="1" width="9.140625" style="66"/>
    <col min="2" max="2" width="23.28515625" style="66" customWidth="1"/>
    <col min="3" max="16384" width="9.140625" style="66"/>
  </cols>
  <sheetData>
    <row r="1" spans="1:2" x14ac:dyDescent="0.2">
      <c r="A1" s="78" t="s">
        <v>487</v>
      </c>
    </row>
    <row r="2" spans="1:2" x14ac:dyDescent="0.2">
      <c r="A2" s="78" t="s">
        <v>488</v>
      </c>
    </row>
    <row r="3" spans="1:2" x14ac:dyDescent="0.2">
      <c r="A3" s="66" t="s">
        <v>489</v>
      </c>
      <c r="B3" s="66" t="s">
        <v>617</v>
      </c>
    </row>
    <row r="4" spans="1:2" x14ac:dyDescent="0.2">
      <c r="A4" s="66" t="s">
        <v>490</v>
      </c>
      <c r="B4" s="81">
        <v>42090</v>
      </c>
    </row>
    <row r="6" spans="1:2" x14ac:dyDescent="0.2">
      <c r="A6" s="78" t="s">
        <v>491</v>
      </c>
    </row>
    <row r="7" spans="1:2" x14ac:dyDescent="0.2">
      <c r="A7" s="66" t="s">
        <v>492</v>
      </c>
      <c r="B7" s="66" t="s">
        <v>493</v>
      </c>
    </row>
    <row r="8" spans="1:2" x14ac:dyDescent="0.2">
      <c r="A8" s="66" t="s">
        <v>494</v>
      </c>
      <c r="B8" s="66" t="s">
        <v>500</v>
      </c>
    </row>
    <row r="9" spans="1:2" x14ac:dyDescent="0.2">
      <c r="A9" s="66" t="s">
        <v>496</v>
      </c>
      <c r="B9" s="66" t="s">
        <v>495</v>
      </c>
    </row>
    <row r="10" spans="1:2" x14ac:dyDescent="0.2">
      <c r="A10" s="66" t="s">
        <v>498</v>
      </c>
      <c r="B10" s="66" t="s">
        <v>497</v>
      </c>
    </row>
    <row r="11" spans="1:2" x14ac:dyDescent="0.2">
      <c r="A11" s="66" t="s">
        <v>501</v>
      </c>
      <c r="B11" s="66" t="s">
        <v>499</v>
      </c>
    </row>
    <row r="12" spans="1:2" x14ac:dyDescent="0.2">
      <c r="A12" s="66" t="s">
        <v>502</v>
      </c>
      <c r="B12" s="66" t="s">
        <v>503</v>
      </c>
    </row>
    <row r="13" spans="1:2" x14ac:dyDescent="0.2">
      <c r="A13" s="66" t="s">
        <v>504</v>
      </c>
      <c r="B13" s="66" t="s">
        <v>505</v>
      </c>
    </row>
    <row r="15" spans="1:2" x14ac:dyDescent="0.2">
      <c r="A15" s="78" t="s">
        <v>493</v>
      </c>
    </row>
    <row r="16" spans="1:2" ht="14.25" x14ac:dyDescent="0.2">
      <c r="A16" s="79" t="s">
        <v>506</v>
      </c>
    </row>
    <row r="17" spans="1:2" ht="13.5" x14ac:dyDescent="0.2">
      <c r="A17" s="80" t="s">
        <v>601</v>
      </c>
    </row>
    <row r="18" spans="1:2" ht="13.5" x14ac:dyDescent="0.2">
      <c r="B18" s="80" t="s">
        <v>507</v>
      </c>
    </row>
    <row r="19" spans="1:2" ht="13.5" x14ac:dyDescent="0.2">
      <c r="B19" s="80" t="s">
        <v>508</v>
      </c>
    </row>
    <row r="20" spans="1:2" ht="13.5" x14ac:dyDescent="0.2">
      <c r="B20" s="80" t="s">
        <v>509</v>
      </c>
    </row>
    <row r="21" spans="1:2" ht="13.5" x14ac:dyDescent="0.2">
      <c r="B21" s="80" t="s">
        <v>510</v>
      </c>
    </row>
    <row r="22" spans="1:2" ht="13.5" x14ac:dyDescent="0.2">
      <c r="B22" s="80" t="s">
        <v>511</v>
      </c>
    </row>
    <row r="23" spans="1:2" ht="13.5" x14ac:dyDescent="0.2">
      <c r="B23" s="80" t="s">
        <v>512</v>
      </c>
    </row>
    <row r="25" spans="1:2" x14ac:dyDescent="0.2">
      <c r="A25" s="66" t="s">
        <v>513</v>
      </c>
    </row>
    <row r="26" spans="1:2" x14ac:dyDescent="0.2">
      <c r="A26" s="66" t="s">
        <v>514</v>
      </c>
    </row>
    <row r="28" spans="1:2" x14ac:dyDescent="0.2">
      <c r="A28" s="78" t="s">
        <v>515</v>
      </c>
    </row>
    <row r="29" spans="1:2" x14ac:dyDescent="0.2">
      <c r="A29" s="66" t="s">
        <v>516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8"/>
  <sheetViews>
    <sheetView workbookViewId="0">
      <selection activeCell="G21" sqref="G21"/>
    </sheetView>
  </sheetViews>
  <sheetFormatPr defaultColWidth="9.140625" defaultRowHeight="12.75" outlineLevelCol="1" x14ac:dyDescent="0.2"/>
  <cols>
    <col min="1" max="1" width="5.140625" style="3" customWidth="1"/>
    <col min="2" max="2" width="9.7109375" style="3" customWidth="1"/>
    <col min="3" max="3" width="36.5703125" style="3" customWidth="1"/>
    <col min="4" max="4" width="36.5703125" style="3" hidden="1" customWidth="1" outlineLevel="1"/>
    <col min="5" max="5" width="2.7109375" style="3" customWidth="1" collapsed="1"/>
    <col min="6" max="6" width="3" style="3" customWidth="1"/>
    <col min="7" max="7" width="43.42578125" style="3" customWidth="1"/>
    <col min="8" max="11" width="5.5703125" style="27" customWidth="1"/>
    <col min="12" max="12" width="83.5703125" style="3" customWidth="1"/>
    <col min="13" max="13" width="48.28515625" style="3" customWidth="1"/>
    <col min="14" max="16384" width="9.140625" style="3"/>
  </cols>
  <sheetData>
    <row r="2" spans="1:13" s="2" customFormat="1" x14ac:dyDescent="0.2">
      <c r="A2" s="37" t="s">
        <v>7</v>
      </c>
      <c r="B2" s="38" t="s">
        <v>0</v>
      </c>
      <c r="C2" s="32" t="s">
        <v>367</v>
      </c>
      <c r="D2" s="39" t="s">
        <v>9</v>
      </c>
      <c r="E2" s="39" t="s">
        <v>18</v>
      </c>
      <c r="F2" s="39"/>
      <c r="G2" s="38"/>
      <c r="H2" s="31"/>
      <c r="I2" s="32" t="s">
        <v>21</v>
      </c>
      <c r="J2" s="32"/>
      <c r="K2" s="39"/>
      <c r="L2" s="39" t="s">
        <v>27</v>
      </c>
      <c r="M2" s="39" t="s">
        <v>6</v>
      </c>
    </row>
    <row r="3" spans="1:13" s="2" customFormat="1" ht="25.5" customHeight="1" x14ac:dyDescent="0.2">
      <c r="A3" s="37"/>
      <c r="B3" s="38"/>
      <c r="C3" s="39"/>
      <c r="D3" s="39"/>
      <c r="E3" s="39"/>
      <c r="F3" s="39"/>
      <c r="G3" s="38"/>
      <c r="H3" s="33" t="s">
        <v>25</v>
      </c>
      <c r="I3" s="33" t="s">
        <v>26</v>
      </c>
      <c r="J3" s="94" t="s">
        <v>552</v>
      </c>
      <c r="K3" s="94" t="s">
        <v>553</v>
      </c>
      <c r="L3" s="39"/>
      <c r="M3" s="39"/>
    </row>
    <row r="4" spans="1:13" s="2" customFormat="1" x14ac:dyDescent="0.2">
      <c r="A4" s="11"/>
      <c r="B4" s="12"/>
      <c r="C4" s="11"/>
      <c r="D4" s="11"/>
      <c r="E4" s="11"/>
      <c r="F4" s="11"/>
      <c r="G4" s="12"/>
      <c r="H4" s="28"/>
      <c r="I4" s="28"/>
      <c r="J4" s="28"/>
      <c r="K4" s="28"/>
      <c r="L4" s="11"/>
      <c r="M4" s="11"/>
    </row>
    <row r="5" spans="1:13" x14ac:dyDescent="0.2">
      <c r="A5" s="40">
        <v>1</v>
      </c>
      <c r="B5" s="8" t="str">
        <f t="shared" ref="B5:B17" si="0">DEC2HEX(A5,4)</f>
        <v>0001</v>
      </c>
      <c r="C5" s="8" t="str">
        <f>UUIDLOOKUP(E5,'UUID Table'!$C$10:$C$201,'UUID Table'!$D$10:$D$201)</f>
        <v>2800</v>
      </c>
      <c r="D5" s="8" t="str">
        <f>UUIDLOOKUP(E5,'UUID Table'!$C$10:$C$201,'UUID Table'!$E$10:$E$201)</f>
        <v>0000280000001000800000805F9B34FB</v>
      </c>
      <c r="E5" s="67" t="s">
        <v>376</v>
      </c>
      <c r="F5" s="9"/>
      <c r="G5" s="9"/>
      <c r="H5" s="29" t="s">
        <v>22</v>
      </c>
      <c r="I5" s="29" t="s">
        <v>23</v>
      </c>
      <c r="J5" s="29" t="s">
        <v>23</v>
      </c>
      <c r="K5" s="29" t="s">
        <v>23</v>
      </c>
      <c r="L5" s="10" t="str">
        <f>"{Service=0x"&amp;TEXT('UUID Table'!$D$132,"0000")&amp;" (""Generic Access Profile"")}"</f>
        <v>{Service=0x1800 ("Generic Access Profile")}</v>
      </c>
      <c r="M5" s="10"/>
    </row>
    <row r="6" spans="1:13" x14ac:dyDescent="0.2">
      <c r="A6" s="34">
        <f t="shared" ref="A6:A11" si="1">A5+1</f>
        <v>2</v>
      </c>
      <c r="B6" s="5" t="str">
        <f t="shared" si="0"/>
        <v>0002</v>
      </c>
      <c r="C6" s="5" t="str">
        <f>UUIDLOOKUP(F6,'UUID Table'!$C$10:$C$201,'UUID Table'!$D$10:$D$201)</f>
        <v>2803</v>
      </c>
      <c r="D6" s="5" t="str">
        <f>UUIDLOOKUP(F6,'UUID Table'!$C$10:$C$201,'UUID Table'!$E$10:$E$201)</f>
        <v>0000280300001000800000805F9B34FB</v>
      </c>
      <c r="E6" s="6"/>
      <c r="F6" s="6" t="s">
        <v>32</v>
      </c>
      <c r="G6" s="6"/>
      <c r="H6" s="30" t="s">
        <v>22</v>
      </c>
      <c r="I6" s="30" t="s">
        <v>23</v>
      </c>
      <c r="J6" s="30" t="s">
        <v>23</v>
      </c>
      <c r="K6" s="30" t="s">
        <v>23</v>
      </c>
      <c r="L6" s="7" t="str">
        <f>"{properties=0x02, handle=0x"&amp;TEXT(B7,"0000")&amp;", UUID=0x"&amp;TEXT(C7,"0000")&amp;"}"</f>
        <v>{properties=0x02, handle=0x0003, UUID=0x2A00}</v>
      </c>
      <c r="M6" s="7"/>
    </row>
    <row r="7" spans="1:13" x14ac:dyDescent="0.2">
      <c r="A7" s="26">
        <f t="shared" si="1"/>
        <v>3</v>
      </c>
      <c r="B7" s="1" t="str">
        <f t="shared" si="0"/>
        <v>0003</v>
      </c>
      <c r="C7" s="13" t="str">
        <f>UUIDLOOKUP(G7,'UUID Table'!$C$10:$C$201,'UUID Table'!$D$10:$D$201)</f>
        <v>2A00</v>
      </c>
      <c r="D7" s="13" t="str">
        <f>UUIDLOOKUP(G7,'UUID Table'!$C$10:$C$201,'UUID Table'!$E$10:$E$201)</f>
        <v>00002A0000001000800000805F9B34FB</v>
      </c>
      <c r="E7" s="23"/>
      <c r="F7" s="23"/>
      <c r="G7" s="42" t="s">
        <v>2</v>
      </c>
      <c r="H7" s="1" t="s">
        <v>22</v>
      </c>
      <c r="I7" s="1" t="s">
        <v>23</v>
      </c>
      <c r="J7" s="1" t="s">
        <v>23</v>
      </c>
      <c r="K7" s="1" t="s">
        <v>23</v>
      </c>
      <c r="L7" s="65" t="s">
        <v>486</v>
      </c>
    </row>
    <row r="8" spans="1:13" x14ac:dyDescent="0.2">
      <c r="A8" s="34">
        <f t="shared" si="1"/>
        <v>4</v>
      </c>
      <c r="B8" s="5" t="str">
        <f t="shared" si="0"/>
        <v>0004</v>
      </c>
      <c r="C8" s="5" t="str">
        <f>UUIDLOOKUP(F8,'UUID Table'!$C$10:$C$201,'UUID Table'!$D$10:$D$201)</f>
        <v>2803</v>
      </c>
      <c r="D8" s="5"/>
      <c r="E8" s="6"/>
      <c r="F8" s="6" t="s">
        <v>32</v>
      </c>
      <c r="G8" s="6"/>
      <c r="H8" s="30" t="s">
        <v>22</v>
      </c>
      <c r="I8" s="30" t="s">
        <v>23</v>
      </c>
      <c r="J8" s="30" t="s">
        <v>23</v>
      </c>
      <c r="K8" s="30" t="s">
        <v>23</v>
      </c>
      <c r="L8" s="7" t="str">
        <f>"{properties=0x02, handle=0x"&amp;TEXT(B9,"0000")&amp;", UUID=0x"&amp;TEXT(C9,"0000")&amp;"}"</f>
        <v>{properties=0x02, handle=0x0005, UUID=0x2A01}</v>
      </c>
      <c r="M8" s="7"/>
    </row>
    <row r="9" spans="1:13" x14ac:dyDescent="0.2">
      <c r="A9" s="26">
        <f t="shared" si="1"/>
        <v>5</v>
      </c>
      <c r="B9" s="1" t="str">
        <f t="shared" si="0"/>
        <v>0005</v>
      </c>
      <c r="C9" s="13" t="str">
        <f>UUIDLOOKUP(G9,'UUID Table'!$C$10:$C$201,'UUID Table'!$D$10:$D$201)</f>
        <v>2A01</v>
      </c>
      <c r="D9" s="13" t="str">
        <f>UUIDLOOKUP(G9,'UUID Table'!$C$10:$C$201,'UUID Table'!$E$10:$E$201)</f>
        <v>00002A0100001000800000805F9B34FB</v>
      </c>
      <c r="E9" s="23"/>
      <c r="F9" s="23"/>
      <c r="G9" s="42" t="s">
        <v>374</v>
      </c>
      <c r="H9" s="1" t="s">
        <v>22</v>
      </c>
      <c r="I9" s="1" t="s">
        <v>23</v>
      </c>
      <c r="J9" s="1" t="s">
        <v>23</v>
      </c>
      <c r="K9" s="1" t="s">
        <v>23</v>
      </c>
      <c r="L9" s="36">
        <v>17</v>
      </c>
    </row>
    <row r="10" spans="1:13" x14ac:dyDescent="0.2">
      <c r="A10" s="35">
        <f t="shared" si="1"/>
        <v>6</v>
      </c>
      <c r="B10" s="5" t="str">
        <f t="shared" si="0"/>
        <v>0006</v>
      </c>
      <c r="C10" s="5" t="str">
        <f>UUIDLOOKUP(F10,'UUID Table'!$C$10:$C$201,'UUID Table'!$D$10:$D$201)</f>
        <v>2803</v>
      </c>
      <c r="D10" s="5"/>
      <c r="E10" s="6"/>
      <c r="F10" s="6" t="s">
        <v>32</v>
      </c>
      <c r="G10" s="6"/>
      <c r="H10" s="30" t="s">
        <v>22</v>
      </c>
      <c r="I10" s="30" t="s">
        <v>23</v>
      </c>
      <c r="J10" s="30" t="s">
        <v>23</v>
      </c>
      <c r="K10" s="30" t="s">
        <v>23</v>
      </c>
      <c r="L10" s="7" t="str">
        <f>"{properties=0x02, handle=0x"&amp;TEXT(B11,"0000")&amp;", UUID=0x"&amp;TEXT(C11,"0000")&amp;"}"</f>
        <v>{properties=0x02, handle=0x0007, UUID=0x2A04}</v>
      </c>
      <c r="M10" s="7"/>
    </row>
    <row r="11" spans="1:13" ht="25.5" x14ac:dyDescent="0.2">
      <c r="A11" s="26">
        <f t="shared" si="1"/>
        <v>7</v>
      </c>
      <c r="B11" s="1" t="str">
        <f t="shared" si="0"/>
        <v>0007</v>
      </c>
      <c r="C11" s="13" t="str">
        <f>UUIDLOOKUP(G11,'UUID Table'!$C$10:$C$201,'UUID Table'!$D$10:$D$201)</f>
        <v>2A04</v>
      </c>
      <c r="D11" s="13" t="str">
        <f>UUIDLOOKUP(G11,'UUID Table'!$C$10:$C$201,'UUID Table'!$E$10:$E$201)</f>
        <v>00002A0400001000800000805F9B34FB</v>
      </c>
      <c r="E11" s="23"/>
      <c r="F11" s="23"/>
      <c r="G11" s="42" t="s">
        <v>375</v>
      </c>
      <c r="H11" s="1" t="s">
        <v>22</v>
      </c>
      <c r="I11" s="1" t="s">
        <v>23</v>
      </c>
      <c r="J11" s="1" t="s">
        <v>23</v>
      </c>
      <c r="K11" s="1" t="s">
        <v>23</v>
      </c>
      <c r="L11" s="69" t="s">
        <v>378</v>
      </c>
      <c r="M11" s="65"/>
    </row>
    <row r="12" spans="1:13" x14ac:dyDescent="0.2">
      <c r="A12" s="40">
        <v>16</v>
      </c>
      <c r="B12" s="8" t="str">
        <f t="shared" si="0"/>
        <v>0010</v>
      </c>
      <c r="C12" s="8" t="str">
        <f>UUIDLOOKUP(E12,'UUID Table'!$C$10:$C$201,'UUID Table'!$D$10:$D$201)</f>
        <v>2800</v>
      </c>
      <c r="D12" s="8" t="str">
        <f>UUIDLOOKUP(E12,'UUID Table'!$C$10:$C$201,'UUID Table'!$E$10:$E$201)</f>
        <v>0000280000001000800000805F9B34FB</v>
      </c>
      <c r="E12" s="67" t="s">
        <v>376</v>
      </c>
      <c r="F12" s="9"/>
      <c r="G12" s="9"/>
      <c r="H12" s="29" t="s">
        <v>22</v>
      </c>
      <c r="I12" s="29" t="s">
        <v>23</v>
      </c>
      <c r="J12" s="29" t="s">
        <v>23</v>
      </c>
      <c r="K12" s="29" t="s">
        <v>23</v>
      </c>
      <c r="L12" s="10" t="str">
        <f>"{Service=0x"&amp;TEXT('UUID Table'!$D$130,"0000")&amp;" (""Attribute Profile"")}"</f>
        <v>{Service=0x1801 ("Attribute Profile")}</v>
      </c>
      <c r="M12" s="10"/>
    </row>
    <row r="13" spans="1:13" x14ac:dyDescent="0.2">
      <c r="A13" s="35">
        <f>A12+1</f>
        <v>17</v>
      </c>
      <c r="B13" s="5" t="str">
        <f t="shared" si="0"/>
        <v>0011</v>
      </c>
      <c r="C13" s="5" t="str">
        <f>UUIDLOOKUP(F13,'UUID Table'!$C$10:$C$201,'UUID Table'!$D$10:$D$201)</f>
        <v>2803</v>
      </c>
      <c r="D13" s="5" t="str">
        <f>UUIDLOOKUP(F13,'UUID Table'!$C$10:$C$201,'UUID Table'!$E$10:$E$201)</f>
        <v>0000280300001000800000805F9B34FB</v>
      </c>
      <c r="E13" s="6" t="s">
        <v>1</v>
      </c>
      <c r="F13" s="6" t="s">
        <v>32</v>
      </c>
      <c r="G13" s="6"/>
      <c r="H13" s="30" t="s">
        <v>22</v>
      </c>
      <c r="I13" s="72" t="s">
        <v>23</v>
      </c>
      <c r="J13" s="72" t="s">
        <v>23</v>
      </c>
      <c r="K13" s="30" t="s">
        <v>23</v>
      </c>
      <c r="L13" s="7" t="str">
        <f>"{properties=0x20, handle=0x"&amp;TEXT(B14,"0000")&amp;", UUID=0x"&amp;TEXT(C14,"0000")&amp;"}"</f>
        <v>{properties=0x20, handle=0x0012, UUID=0x2A05}</v>
      </c>
      <c r="M13" s="7"/>
    </row>
    <row r="14" spans="1:13" x14ac:dyDescent="0.2">
      <c r="A14" s="26">
        <f>A13+1</f>
        <v>18</v>
      </c>
      <c r="B14" s="1" t="str">
        <f t="shared" si="0"/>
        <v>0012</v>
      </c>
      <c r="C14" s="13" t="str">
        <f>UUIDLOOKUP(G14,'UUID Table'!$C$10:$C$201,'UUID Table'!$D$10:$D$201)</f>
        <v>2A05</v>
      </c>
      <c r="D14" s="13" t="str">
        <f>UUIDLOOKUP(G14,'UUID Table'!$C$10:$C$201,'UUID Table'!$E$10:$E$201)</f>
        <v>00002A0500001000800000805F9B34FB</v>
      </c>
      <c r="G14" s="42" t="s">
        <v>29</v>
      </c>
      <c r="H14" s="71" t="s">
        <v>23</v>
      </c>
      <c r="I14" s="71" t="s">
        <v>23</v>
      </c>
      <c r="J14" s="71" t="s">
        <v>22</v>
      </c>
      <c r="K14" s="71" t="s">
        <v>23</v>
      </c>
      <c r="L14" s="69" t="s">
        <v>438</v>
      </c>
    </row>
    <row r="15" spans="1:13" x14ac:dyDescent="0.2">
      <c r="A15" s="26">
        <f>A14+1</f>
        <v>19</v>
      </c>
      <c r="B15" s="1" t="str">
        <f t="shared" ref="B15" si="2">DEC2HEX(A15,4)</f>
        <v>0013</v>
      </c>
      <c r="C15" s="13" t="str">
        <f>UUIDLOOKUP(G15,'UUID Table'!$C$10:$C$201,'UUID Table'!$D$10:$D$201)</f>
        <v>2902</v>
      </c>
      <c r="D15" s="13" t="str">
        <f>UUIDLOOKUP(G15,'UUID Table'!$C$10:$C$201,'UUID Table'!$E$10:$E$201)</f>
        <v>0000290200001000800000805F9B34FB</v>
      </c>
      <c r="G15" s="42" t="s">
        <v>363</v>
      </c>
      <c r="H15" s="71" t="s">
        <v>22</v>
      </c>
      <c r="I15" s="71" t="s">
        <v>22</v>
      </c>
      <c r="J15" s="71" t="s">
        <v>23</v>
      </c>
      <c r="K15" s="71" t="s">
        <v>23</v>
      </c>
      <c r="L15" s="69" t="s">
        <v>590</v>
      </c>
    </row>
    <row r="16" spans="1:13" x14ac:dyDescent="0.2">
      <c r="A16" s="35">
        <f>A15+1</f>
        <v>20</v>
      </c>
      <c r="B16" s="5" t="str">
        <f t="shared" si="0"/>
        <v>0014</v>
      </c>
      <c r="C16" s="5" t="str">
        <f>UUIDLOOKUP(F16,'UUID Table'!$C$10:$C$201,'UUID Table'!$D$10:$D$201)</f>
        <v>2803</v>
      </c>
      <c r="D16" s="5" t="str">
        <f>UUIDLOOKUP(F16,'UUID Table'!$C$10:$C$201,'UUID Table'!$E$10:$E$201)</f>
        <v>0000280300001000800000805F9B34FB</v>
      </c>
      <c r="E16" s="6" t="s">
        <v>1</v>
      </c>
      <c r="F16" s="6" t="s">
        <v>32</v>
      </c>
      <c r="G16" s="6"/>
      <c r="H16" s="30" t="s">
        <v>22</v>
      </c>
      <c r="I16" s="30" t="s">
        <v>23</v>
      </c>
      <c r="J16" s="30" t="s">
        <v>23</v>
      </c>
      <c r="K16" s="30" t="s">
        <v>23</v>
      </c>
      <c r="L16" s="7" t="str">
        <f>"{properties=0x02, handle=0x"&amp;TEXT(B17,"0000")&amp;", UUID=0x"&amp;TEXT(C17,"0000")&amp;"}"</f>
        <v>{properties=0x02, handle=0x0015, UUID=0xB004}</v>
      </c>
      <c r="M16" s="7"/>
    </row>
    <row r="17" spans="1:12" x14ac:dyDescent="0.2">
      <c r="A17" s="26">
        <f>A16+1</f>
        <v>21</v>
      </c>
      <c r="B17" s="1" t="str">
        <f t="shared" si="0"/>
        <v>0015</v>
      </c>
      <c r="C17" s="13" t="str">
        <f>UUIDLOOKUP(G17,'UUID Table'!$C$10:$C$201,'UUID Table'!$D$10:$D$201)</f>
        <v>B004</v>
      </c>
      <c r="D17" s="13" t="str">
        <f>UUIDLOOKUP(G17,'UUID Table'!$C$10:$C$201,'UUID Table'!$E$10:$E$201)</f>
        <v>0000B00400001000800000805F9B34FB</v>
      </c>
      <c r="G17" s="42" t="s">
        <v>401</v>
      </c>
      <c r="H17" s="1" t="s">
        <v>22</v>
      </c>
      <c r="I17" s="1" t="s">
        <v>23</v>
      </c>
      <c r="J17" s="1" t="s">
        <v>23</v>
      </c>
      <c r="K17" s="1" t="s">
        <v>23</v>
      </c>
      <c r="L17" s="36" t="s">
        <v>350</v>
      </c>
    </row>
    <row r="18" spans="1:12" x14ac:dyDescent="0.2">
      <c r="A18" s="26"/>
      <c r="B18" s="1"/>
      <c r="C18" s="13"/>
      <c r="D18" s="13"/>
      <c r="G18" s="4"/>
      <c r="H18" s="1"/>
      <c r="I18" s="1"/>
      <c r="J18" s="1"/>
      <c r="K18" s="1"/>
      <c r="L18" s="4"/>
    </row>
    <row r="19" spans="1:12" x14ac:dyDescent="0.2">
      <c r="H19" s="27" t="s">
        <v>22</v>
      </c>
      <c r="I19" s="76" t="s">
        <v>449</v>
      </c>
      <c r="J19" s="76"/>
    </row>
    <row r="20" spans="1:12" x14ac:dyDescent="0.2">
      <c r="H20" s="27" t="s">
        <v>23</v>
      </c>
      <c r="I20" s="41" t="s">
        <v>28</v>
      </c>
      <c r="J20" s="41"/>
    </row>
    <row r="21" spans="1:12" x14ac:dyDescent="0.2">
      <c r="H21" s="73"/>
      <c r="I21" s="41"/>
      <c r="J21" s="41"/>
    </row>
    <row r="22" spans="1:12" x14ac:dyDescent="0.2">
      <c r="I22" s="41"/>
      <c r="J22" s="41"/>
    </row>
    <row r="24" spans="1:12" x14ac:dyDescent="0.2">
      <c r="C24" s="3" t="s">
        <v>366</v>
      </c>
      <c r="G24" s="59" t="s">
        <v>365</v>
      </c>
      <c r="H24" s="60">
        <f t="array" ref="H24">ROWS(A5:A17)-COUNTBLANK(A5:A17)-SUM(IF(FREQUENCY(IF(LEN(A5:A17)&gt;0,MATCH(A5:A17,A5:A17,0),""), IF(LEN(A5:A17)&gt;0,MATCH(A5:A17,A5:A17,0),""))&gt;0,1))</f>
        <v>0</v>
      </c>
      <c r="I24" s="15"/>
      <c r="J24" s="15"/>
      <c r="K24" s="3"/>
    </row>
    <row r="25" spans="1:12" x14ac:dyDescent="0.2">
      <c r="B25"/>
      <c r="C25"/>
      <c r="D25"/>
      <c r="E25" s="15"/>
    </row>
    <row r="26" spans="1:12" x14ac:dyDescent="0.2">
      <c r="B26"/>
      <c r="C26" s="68" t="s">
        <v>472</v>
      </c>
    </row>
    <row r="27" spans="1:12" x14ac:dyDescent="0.2">
      <c r="B27"/>
      <c r="C27" t="s">
        <v>437</v>
      </c>
      <c r="D27"/>
      <c r="E27" s="15"/>
    </row>
    <row r="28" spans="1:12" x14ac:dyDescent="0.2">
      <c r="B28"/>
      <c r="C28"/>
      <c r="D28" s="15"/>
      <c r="E28" s="15"/>
      <c r="H28" s="3"/>
      <c r="I28" s="3"/>
      <c r="J28" s="3"/>
      <c r="K28" s="3"/>
    </row>
  </sheetData>
  <conditionalFormatting sqref="G24:H24">
    <cfRule type="expression" dxfId="6" priority="1" stopIfTrue="1">
      <formula>$H$24&gt;0</formula>
    </cfRule>
  </conditionalFormatting>
  <pageMargins left="0.75" right="0.75" top="1" bottom="1" header="0.5" footer="0.5"/>
  <pageSetup paperSize="9" orientation="portrait" verticalDpi="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141"/>
  <sheetViews>
    <sheetView topLeftCell="A26" workbookViewId="0">
      <selection activeCell="L36" sqref="L36"/>
    </sheetView>
  </sheetViews>
  <sheetFormatPr defaultColWidth="9.140625" defaultRowHeight="12.75" outlineLevelCol="1" x14ac:dyDescent="0.2"/>
  <cols>
    <col min="1" max="1" width="6.5703125" style="3" customWidth="1"/>
    <col min="2" max="2" width="9.7109375" style="3" customWidth="1"/>
    <col min="3" max="3" width="36.5703125" style="3" customWidth="1"/>
    <col min="4" max="4" width="36.5703125" style="3" hidden="1" customWidth="1" outlineLevel="1"/>
    <col min="5" max="5" width="2.7109375" style="3" customWidth="1" collapsed="1"/>
    <col min="6" max="6" width="3" style="3" customWidth="1"/>
    <col min="7" max="7" width="43.42578125" style="3" customWidth="1"/>
    <col min="8" max="11" width="5.5703125" style="27" customWidth="1"/>
    <col min="12" max="12" width="100.5703125" style="3" customWidth="1"/>
    <col min="13" max="13" width="49.5703125" style="3" customWidth="1"/>
    <col min="14" max="16384" width="9.140625" style="3"/>
  </cols>
  <sheetData>
    <row r="2" spans="1:13" s="2" customFormat="1" x14ac:dyDescent="0.2">
      <c r="A2" s="37" t="s">
        <v>7</v>
      </c>
      <c r="B2" s="38" t="s">
        <v>0</v>
      </c>
      <c r="C2" s="32" t="s">
        <v>367</v>
      </c>
      <c r="D2" s="39" t="s">
        <v>9</v>
      </c>
      <c r="E2" s="39" t="s">
        <v>18</v>
      </c>
      <c r="F2" s="39"/>
      <c r="G2" s="38"/>
      <c r="H2" s="31"/>
      <c r="I2" s="32" t="s">
        <v>21</v>
      </c>
      <c r="J2" s="32"/>
      <c r="K2" s="39"/>
      <c r="L2" s="39" t="s">
        <v>27</v>
      </c>
      <c r="M2" s="39" t="s">
        <v>6</v>
      </c>
    </row>
    <row r="3" spans="1:13" s="2" customFormat="1" ht="25.5" customHeight="1" x14ac:dyDescent="0.2">
      <c r="A3" s="37"/>
      <c r="B3" s="38"/>
      <c r="C3" s="39"/>
      <c r="D3" s="39"/>
      <c r="E3" s="39"/>
      <c r="F3" s="39"/>
      <c r="G3" s="38"/>
      <c r="H3" s="33" t="s">
        <v>25</v>
      </c>
      <c r="I3" s="33" t="s">
        <v>26</v>
      </c>
      <c r="J3" s="94" t="s">
        <v>552</v>
      </c>
      <c r="K3" s="94" t="s">
        <v>553</v>
      </c>
      <c r="L3" s="39"/>
      <c r="M3" s="39"/>
    </row>
    <row r="4" spans="1:13" s="2" customFormat="1" x14ac:dyDescent="0.2">
      <c r="A4" s="11"/>
      <c r="B4" s="12"/>
      <c r="C4" s="11"/>
      <c r="D4" s="11"/>
      <c r="E4" s="11"/>
      <c r="F4" s="11"/>
      <c r="G4" s="12"/>
      <c r="H4" s="28"/>
      <c r="I4" s="28"/>
      <c r="J4" s="28"/>
      <c r="K4" s="28"/>
      <c r="L4" s="11"/>
      <c r="M4" s="11"/>
    </row>
    <row r="5" spans="1:13" x14ac:dyDescent="0.2">
      <c r="A5" s="40">
        <v>1</v>
      </c>
      <c r="B5" s="8" t="str">
        <f t="shared" ref="B5:B27" si="0">DEC2HEX(A5,4)</f>
        <v>0001</v>
      </c>
      <c r="C5" s="8" t="str">
        <f>UUIDLOOKUP(E5,'UUID Table'!$C$10:$C$201,'UUID Table'!$D$10:$D$201)</f>
        <v>2801</v>
      </c>
      <c r="D5" s="8" t="str">
        <f>UUIDLOOKUP(E5,'UUID Table'!$C$10:$C$201,'UUID Table'!$E$10:$E$201)</f>
        <v>0000280100001000800000805F9B34FB</v>
      </c>
      <c r="E5" s="67" t="s">
        <v>377</v>
      </c>
      <c r="F5" s="8"/>
      <c r="G5" s="8"/>
      <c r="H5" s="8" t="s">
        <v>22</v>
      </c>
      <c r="I5" s="8" t="s">
        <v>23</v>
      </c>
      <c r="J5" s="8" t="s">
        <v>23</v>
      </c>
      <c r="K5" s="8" t="s">
        <v>23</v>
      </c>
      <c r="L5" s="10" t="str">
        <f>"{Service=0x"&amp;TEXT('UUID Table'!$D$160,"0000")&amp;" (""Service D"")}"</f>
        <v>{Service=0xA00D ("Service D")}</v>
      </c>
      <c r="M5" s="10"/>
    </row>
    <row r="6" spans="1:13" x14ac:dyDescent="0.2">
      <c r="A6" s="104">
        <f>A5+1</f>
        <v>2</v>
      </c>
      <c r="B6" s="105" t="str">
        <f>DEC2HEX(A6,4)</f>
        <v>0002</v>
      </c>
      <c r="C6" s="105" t="str">
        <f>UUIDLOOKUP(G6,'UUID Table'!$C$10:$C$201,'UUID Table'!$D$10:$D$201)</f>
        <v>2802</v>
      </c>
      <c r="D6" s="105"/>
      <c r="E6" s="106"/>
      <c r="F6" s="105"/>
      <c r="G6" s="107" t="s">
        <v>348</v>
      </c>
      <c r="H6" s="108" t="s">
        <v>22</v>
      </c>
      <c r="I6" s="108" t="s">
        <v>23</v>
      </c>
      <c r="J6" s="108" t="s">
        <v>23</v>
      </c>
      <c r="K6" s="108" t="s">
        <v>23</v>
      </c>
      <c r="L6" s="109" t="str">
        <f>"{handle=0x"&amp;TEXT(B58,"0000")&amp;", end group handle=0x"&amp;TEXT(B63,"0000")&amp;", UUID=0x"&amp;TEXT('UUID Table'!$D$145,"0000")&amp;"}"</f>
        <v>{handle=0x0080, end group handle=0x0085, UUID=0xA00B}</v>
      </c>
      <c r="M6" s="103"/>
    </row>
    <row r="7" spans="1:13" x14ac:dyDescent="0.2">
      <c r="A7" s="35">
        <f>A6+1</f>
        <v>3</v>
      </c>
      <c r="B7" s="5" t="str">
        <f t="shared" si="0"/>
        <v>0003</v>
      </c>
      <c r="C7" s="5" t="str">
        <f>UUIDLOOKUP(F7,'UUID Table'!$C$10:$C$201,'UUID Table'!$D$10:$D$201)</f>
        <v>2803</v>
      </c>
      <c r="D7" s="5" t="str">
        <f>UUIDLOOKUP(F7,'UUID Table'!$C$10:$C$201,'UUID Table'!$E$10:$E$201)</f>
        <v>0000280300001000800000805F9B34FB</v>
      </c>
      <c r="E7" s="6" t="s">
        <v>1</v>
      </c>
      <c r="F7" s="6" t="s">
        <v>32</v>
      </c>
      <c r="G7" s="6"/>
      <c r="H7" s="30" t="s">
        <v>22</v>
      </c>
      <c r="I7" s="30" t="s">
        <v>23</v>
      </c>
      <c r="J7" s="30" t="s">
        <v>23</v>
      </c>
      <c r="K7" s="30" t="s">
        <v>23</v>
      </c>
      <c r="L7" s="7" t="str">
        <f>"{properties=0x02, handle=0x"&amp;TEXT(B8,"0000")&amp;", UUID=0x"&amp;TEXT(C8,"0000")&amp;"}"</f>
        <v>{properties=0x02, handle=0x0004, UUID=0xB00C}</v>
      </c>
      <c r="M7" s="7"/>
    </row>
    <row r="8" spans="1:13" x14ac:dyDescent="0.2">
      <c r="A8" s="26">
        <f>A7+1</f>
        <v>4</v>
      </c>
      <c r="B8" s="1" t="str">
        <f t="shared" si="0"/>
        <v>0004</v>
      </c>
      <c r="C8" s="13" t="str">
        <f>UUIDLOOKUP(G8,'UUID Table'!$C$10:$C$201,'UUID Table'!$D$10:$D$201)</f>
        <v>B00C</v>
      </c>
      <c r="D8" s="13" t="str">
        <f>UUIDLOOKUP(G8,'UUID Table'!$C$10:$C$201,'UUID Table'!$E$10:$E$201)</f>
        <v>0000B00C00001000800000805F9B34FB</v>
      </c>
      <c r="G8" s="42" t="s">
        <v>402</v>
      </c>
      <c r="H8" s="71" t="s">
        <v>24</v>
      </c>
      <c r="I8" s="1" t="s">
        <v>23</v>
      </c>
      <c r="J8" s="1" t="s">
        <v>23</v>
      </c>
      <c r="K8" s="1" t="s">
        <v>23</v>
      </c>
      <c r="L8" s="69" t="s">
        <v>430</v>
      </c>
      <c r="M8" s="68"/>
    </row>
    <row r="9" spans="1:13" x14ac:dyDescent="0.2">
      <c r="A9" s="35">
        <f>A8+1</f>
        <v>5</v>
      </c>
      <c r="B9" s="5" t="str">
        <f t="shared" si="0"/>
        <v>0005</v>
      </c>
      <c r="C9" s="5" t="str">
        <f>UUIDLOOKUP(F9,'UUID Table'!$C$10:$C$201,'UUID Table'!$D$10:$D$201)</f>
        <v>2803</v>
      </c>
      <c r="D9" s="5" t="str">
        <f>UUIDLOOKUP(F9,'UUID Table'!$C$10:$C$201,'UUID Table'!$E$10:$E$201)</f>
        <v>0000280300001000800000805F9B34FB</v>
      </c>
      <c r="E9" s="6" t="s">
        <v>1</v>
      </c>
      <c r="F9" s="6" t="s">
        <v>32</v>
      </c>
      <c r="G9" s="6"/>
      <c r="H9" s="30" t="s">
        <v>22</v>
      </c>
      <c r="I9" s="30" t="s">
        <v>23</v>
      </c>
      <c r="J9" s="30" t="s">
        <v>23</v>
      </c>
      <c r="K9" s="30" t="s">
        <v>23</v>
      </c>
      <c r="L9" s="7" t="str">
        <f>"{properties=0x02, handle=0x"&amp;TEXT(B10,"0000")&amp;", UUID=0x"&amp;TEXT(C10,"0000")&amp;"}"</f>
        <v>{properties=0x02, handle=0x0006, UUID=0x0000B00B000000000123456789ABCDEF}</v>
      </c>
      <c r="M9" s="7"/>
    </row>
    <row r="10" spans="1:13" x14ac:dyDescent="0.2">
      <c r="A10" s="26">
        <f>A9+1</f>
        <v>6</v>
      </c>
      <c r="B10" s="1" t="str">
        <f t="shared" si="0"/>
        <v>0006</v>
      </c>
      <c r="C10" s="13" t="str">
        <f>UUIDLOOKUP(G10,'UUID Table'!$C$10:$C$201,'UUID Table'!$E$10:$E$201)</f>
        <v>0000B00B000000000123456789ABCDEF</v>
      </c>
      <c r="D10" s="13" t="str">
        <f>UUIDLOOKUP(G10,'UUID Table'!$C$10:$C$201,'UUID Table'!$E$10:$E$201)</f>
        <v>0000B00B000000000123456789ABCDEF</v>
      </c>
      <c r="G10" s="42" t="s">
        <v>398</v>
      </c>
      <c r="H10" s="71" t="s">
        <v>556</v>
      </c>
      <c r="I10" s="71" t="s">
        <v>23</v>
      </c>
      <c r="J10" s="71" t="s">
        <v>23</v>
      </c>
      <c r="K10" s="1" t="s">
        <v>23</v>
      </c>
      <c r="L10" s="69" t="s">
        <v>429</v>
      </c>
    </row>
    <row r="11" spans="1:13" x14ac:dyDescent="0.2">
      <c r="A11" s="40">
        <v>16</v>
      </c>
      <c r="B11" s="8" t="str">
        <f t="shared" si="0"/>
        <v>0010</v>
      </c>
      <c r="C11" s="8" t="str">
        <f>UUIDLOOKUP(E11,'UUID Table'!$C$10:$C$201,'UUID Table'!$D$10:$D$201)</f>
        <v>2800</v>
      </c>
      <c r="D11" s="8" t="str">
        <f>UUIDLOOKUP(E11,'UUID Table'!$C$10:$C$201,'UUID Table'!$E$10:$E$201)</f>
        <v>0000280000001000800000805F9B34FB</v>
      </c>
      <c r="E11" s="67" t="s">
        <v>376</v>
      </c>
      <c r="F11" s="9"/>
      <c r="G11" s="9"/>
      <c r="H11" s="29" t="s">
        <v>22</v>
      </c>
      <c r="I11" s="29" t="s">
        <v>23</v>
      </c>
      <c r="J11" s="29" t="s">
        <v>23</v>
      </c>
      <c r="K11" s="29" t="s">
        <v>23</v>
      </c>
      <c r="L11" s="10" t="str">
        <f>"{Service=0x"&amp;TEXT('UUID Table'!$D$130,"0000")&amp;" (""Attribute Profile"")}"</f>
        <v>{Service=0x1801 ("Attribute Profile")}</v>
      </c>
      <c r="M11" s="10"/>
    </row>
    <row r="12" spans="1:13" x14ac:dyDescent="0.2">
      <c r="A12" s="35">
        <f>A11+1</f>
        <v>17</v>
      </c>
      <c r="B12" s="5" t="str">
        <f t="shared" si="0"/>
        <v>0011</v>
      </c>
      <c r="C12" s="5" t="str">
        <f>UUIDLOOKUP(F12,'UUID Table'!$C$10:$C$201,'UUID Table'!$D$10:$D$201)</f>
        <v>2803</v>
      </c>
      <c r="D12" s="5" t="str">
        <f>UUIDLOOKUP(F12,'UUID Table'!$C$10:$C$201,'UUID Table'!$E$10:$E$201)</f>
        <v>0000280300001000800000805F9B34FB</v>
      </c>
      <c r="E12" s="6" t="s">
        <v>1</v>
      </c>
      <c r="F12" s="6" t="s">
        <v>32</v>
      </c>
      <c r="G12" s="6"/>
      <c r="H12" s="30" t="s">
        <v>22</v>
      </c>
      <c r="I12" s="72" t="s">
        <v>23</v>
      </c>
      <c r="J12" s="72" t="s">
        <v>23</v>
      </c>
      <c r="K12" s="30" t="s">
        <v>23</v>
      </c>
      <c r="L12" s="7" t="str">
        <f>"{properties=0x20, handle=0x"&amp;TEXT(B13,"0000")&amp;", UUID=0x"&amp;TEXT(C13,"0000")&amp;"}"</f>
        <v>{properties=0x20, handle=0x0012, UUID=0x2A05}</v>
      </c>
      <c r="M12" s="7"/>
    </row>
    <row r="13" spans="1:13" x14ac:dyDescent="0.2">
      <c r="A13" s="26">
        <f>A12+1</f>
        <v>18</v>
      </c>
      <c r="B13" s="1" t="str">
        <f t="shared" si="0"/>
        <v>0012</v>
      </c>
      <c r="C13" s="13" t="str">
        <f>UUIDLOOKUP(G13,'UUID Table'!$C$10:$C$201,'UUID Table'!$D$10:$D$201)</f>
        <v>2A05</v>
      </c>
      <c r="D13" s="13" t="str">
        <f>UUIDLOOKUP(G13,'UUID Table'!$C$10:$C$201,'UUID Table'!$E$10:$E$201)</f>
        <v>00002A0500001000800000805F9B34FB</v>
      </c>
      <c r="G13" s="42" t="s">
        <v>29</v>
      </c>
      <c r="H13" s="71" t="s">
        <v>23</v>
      </c>
      <c r="I13" s="71" t="s">
        <v>23</v>
      </c>
      <c r="J13" s="71" t="s">
        <v>22</v>
      </c>
      <c r="K13" s="71" t="s">
        <v>23</v>
      </c>
      <c r="L13" s="69" t="s">
        <v>438</v>
      </c>
    </row>
    <row r="14" spans="1:13" x14ac:dyDescent="0.2">
      <c r="A14" s="26">
        <f>A13+1</f>
        <v>19</v>
      </c>
      <c r="B14" s="1" t="str">
        <f t="shared" si="0"/>
        <v>0013</v>
      </c>
      <c r="C14" s="13" t="str">
        <f>UUIDLOOKUP(G14,'UUID Table'!$C$10:$C$201,'UUID Table'!$D$10:$D$201)</f>
        <v>2902</v>
      </c>
      <c r="D14" s="13" t="str">
        <f>UUIDLOOKUP(G14,'UUID Table'!$C$10:$C$201,'UUID Table'!$E$10:$E$201)</f>
        <v>0000290200001000800000805F9B34FB</v>
      </c>
      <c r="G14" s="42" t="s">
        <v>363</v>
      </c>
      <c r="H14" s="71" t="s">
        <v>22</v>
      </c>
      <c r="I14" s="71" t="s">
        <v>22</v>
      </c>
      <c r="J14" s="71" t="s">
        <v>23</v>
      </c>
      <c r="K14" s="71" t="s">
        <v>23</v>
      </c>
      <c r="L14" s="69" t="s">
        <v>590</v>
      </c>
    </row>
    <row r="15" spans="1:13" x14ac:dyDescent="0.2">
      <c r="A15" s="40">
        <v>32</v>
      </c>
      <c r="B15" s="8" t="str">
        <f t="shared" si="0"/>
        <v>0020</v>
      </c>
      <c r="C15" s="8" t="str">
        <f>UUIDLOOKUP(E15,'UUID Table'!$C$10:$C$201,'UUID Table'!$D$10:$D$201)</f>
        <v>2800</v>
      </c>
      <c r="D15" s="8" t="str">
        <f>UUIDLOOKUP(E15,'UUID Table'!$C$10:$C$201,'UUID Table'!$E$10:$E$201)</f>
        <v>0000280000001000800000805F9B34FB</v>
      </c>
      <c r="E15" s="67" t="s">
        <v>376</v>
      </c>
      <c r="F15" s="8"/>
      <c r="G15" s="8"/>
      <c r="H15" s="8" t="s">
        <v>22</v>
      </c>
      <c r="I15" s="8" t="s">
        <v>23</v>
      </c>
      <c r="J15" s="8" t="s">
        <v>23</v>
      </c>
      <c r="K15" s="8" t="s">
        <v>23</v>
      </c>
      <c r="L15" s="10" t="str">
        <f>"{Service=0x"&amp;TEXT('UUID Table'!$D$138,"0000")&amp;" (""Service A"")}"</f>
        <v>{Service=0xA00A ("Service A")}</v>
      </c>
      <c r="M15" s="10"/>
    </row>
    <row r="16" spans="1:13" x14ac:dyDescent="0.2">
      <c r="A16" s="104">
        <f>A15+1</f>
        <v>33</v>
      </c>
      <c r="B16" s="105" t="str">
        <f>DEC2HEX(A16,4)</f>
        <v>0021</v>
      </c>
      <c r="C16" s="105" t="str">
        <f>UUIDLOOKUP(G16,'UUID Table'!$C$10:$C$201,'UUID Table'!$D$10:$D$201)</f>
        <v>2802</v>
      </c>
      <c r="D16" s="105"/>
      <c r="E16" s="106"/>
      <c r="F16" s="105"/>
      <c r="G16" s="107" t="s">
        <v>348</v>
      </c>
      <c r="H16" s="108" t="s">
        <v>22</v>
      </c>
      <c r="I16" s="108" t="s">
        <v>23</v>
      </c>
      <c r="J16" s="108" t="s">
        <v>23</v>
      </c>
      <c r="K16" s="108" t="s">
        <v>23</v>
      </c>
      <c r="L16" s="109" t="str">
        <f>"{handle=0x"&amp;TEXT(B5,"0000")&amp;", end group handle=0x"&amp;TEXT(B10,"0000")&amp;", UUID=0x"&amp;TEXT('UUID Table'!$D$160,"0000")&amp;"}"</f>
        <v>{handle=0x0001, end group handle=0x0006, UUID=0xA00D}</v>
      </c>
      <c r="M16" s="103"/>
    </row>
    <row r="17" spans="1:13" x14ac:dyDescent="0.2">
      <c r="A17" s="35">
        <f>A16+1</f>
        <v>34</v>
      </c>
      <c r="B17" s="5" t="str">
        <f t="shared" si="0"/>
        <v>0022</v>
      </c>
      <c r="C17" s="5" t="str">
        <f>UUIDLOOKUP(F17,'UUID Table'!$C$10:$C$201,'UUID Table'!$D$10:$D$201)</f>
        <v>2803</v>
      </c>
      <c r="D17" s="5" t="str">
        <f>UUIDLOOKUP(F17,'UUID Table'!$C$10:$C$201,'UUID Table'!$E$10:$E$201)</f>
        <v>0000280300001000800000805F9B34FB</v>
      </c>
      <c r="E17" s="6" t="s">
        <v>1</v>
      </c>
      <c r="F17" s="6" t="s">
        <v>32</v>
      </c>
      <c r="G17" s="6"/>
      <c r="H17" s="30" t="s">
        <v>22</v>
      </c>
      <c r="I17" s="30" t="s">
        <v>23</v>
      </c>
      <c r="J17" s="30" t="s">
        <v>23</v>
      </c>
      <c r="K17" s="30" t="s">
        <v>23</v>
      </c>
      <c r="L17" s="7" t="str">
        <f>"{properties=0x02, handle=0x"&amp;TEXT(B18,"0000")&amp;", UUID=0x"&amp;TEXT(C18,"0000")&amp;"}"</f>
        <v>{properties=0x02, handle=0x0023, UUID=0xB001}</v>
      </c>
      <c r="M17" s="7"/>
    </row>
    <row r="18" spans="1:13" x14ac:dyDescent="0.2">
      <c r="A18" s="26">
        <f t="shared" ref="A18:A24" si="1">A17+1</f>
        <v>35</v>
      </c>
      <c r="B18" s="1" t="str">
        <f t="shared" si="0"/>
        <v>0023</v>
      </c>
      <c r="C18" s="13" t="str">
        <f>UUIDLOOKUP(G18,'UUID Table'!$C$10:$C$201,'UUID Table'!$D$10:$D$201)</f>
        <v>B001</v>
      </c>
      <c r="D18" s="13" t="str">
        <f>UUIDLOOKUP(G18,'UUID Table'!$C$10:$C$201,'UUID Table'!$E$10:$E$201)</f>
        <v>0000B00100001000800000805F9B34FB</v>
      </c>
      <c r="G18" s="42" t="s">
        <v>381</v>
      </c>
      <c r="H18" s="71" t="s">
        <v>558</v>
      </c>
      <c r="I18" s="1" t="s">
        <v>23</v>
      </c>
      <c r="J18" s="1" t="s">
        <v>23</v>
      </c>
      <c r="K18" s="1" t="s">
        <v>23</v>
      </c>
      <c r="L18" s="69" t="s">
        <v>407</v>
      </c>
    </row>
    <row r="19" spans="1:13" x14ac:dyDescent="0.2">
      <c r="A19" s="35">
        <f t="shared" si="1"/>
        <v>36</v>
      </c>
      <c r="B19" s="5" t="str">
        <f t="shared" si="0"/>
        <v>0024</v>
      </c>
      <c r="C19" s="5" t="str">
        <f>UUIDLOOKUP(F19,'UUID Table'!$C$10:$C$201,'UUID Table'!$D$10:$D$201)</f>
        <v>2803</v>
      </c>
      <c r="D19" s="5" t="str">
        <f>UUIDLOOKUP(F19,'UUID Table'!$C$10:$C$201,'UUID Table'!$E$10:$E$201)</f>
        <v>0000280300001000800000805F9B34FB</v>
      </c>
      <c r="E19" s="6" t="s">
        <v>1</v>
      </c>
      <c r="F19" s="6" t="s">
        <v>32</v>
      </c>
      <c r="G19" s="6"/>
      <c r="H19" s="30" t="s">
        <v>22</v>
      </c>
      <c r="I19" s="30" t="s">
        <v>23</v>
      </c>
      <c r="J19" s="30" t="s">
        <v>23</v>
      </c>
      <c r="K19" s="30" t="s">
        <v>23</v>
      </c>
      <c r="L19" s="7" t="str">
        <f>"{properties=0x0A, handle=0x"&amp;TEXT(B20,"0000")&amp;", UUID=0x"&amp;TEXT(C20,"0000")&amp;"}"</f>
        <v>{properties=0x0A, handle=0x0025, UUID=0xB002}</v>
      </c>
      <c r="M19" s="7"/>
    </row>
    <row r="20" spans="1:13" ht="76.5" x14ac:dyDescent="0.2">
      <c r="A20" s="26">
        <f t="shared" si="1"/>
        <v>37</v>
      </c>
      <c r="B20" s="1" t="str">
        <f t="shared" si="0"/>
        <v>0025</v>
      </c>
      <c r="C20" s="13" t="str">
        <f>UUIDLOOKUP(G20,'UUID Table'!$C$10:$C$201,'UUID Table'!$D$10:$D$201)</f>
        <v>B002</v>
      </c>
      <c r="D20" s="13" t="str">
        <f>UUIDLOOKUP(G20,'UUID Table'!$C$10:$C$201,'UUID Table'!$E$10:$E$201)</f>
        <v>0000B00200001000800000805F9B34FB</v>
      </c>
      <c r="G20" s="42" t="s">
        <v>382</v>
      </c>
      <c r="H20" s="1" t="s">
        <v>22</v>
      </c>
      <c r="I20" s="71" t="s">
        <v>22</v>
      </c>
      <c r="J20" s="71" t="s">
        <v>23</v>
      </c>
      <c r="K20" s="1" t="s">
        <v>23</v>
      </c>
      <c r="L20" s="69" t="s">
        <v>599</v>
      </c>
      <c r="M20" s="68" t="s">
        <v>600</v>
      </c>
    </row>
    <row r="21" spans="1:13" x14ac:dyDescent="0.2">
      <c r="A21" s="35">
        <f>A20+1</f>
        <v>38</v>
      </c>
      <c r="B21" s="5" t="str">
        <f t="shared" si="0"/>
        <v>0026</v>
      </c>
      <c r="C21" s="5" t="str">
        <f>UUIDLOOKUP(F21,'UUID Table'!$C$10:$C$201,'UUID Table'!$D$10:$D$201)</f>
        <v>2803</v>
      </c>
      <c r="D21" s="5" t="str">
        <f>UUIDLOOKUP(F21,'UUID Table'!$C$10:$C$201,'UUID Table'!$E$10:$E$201)</f>
        <v>0000280300001000800000805F9B34FB</v>
      </c>
      <c r="E21" s="6" t="s">
        <v>1</v>
      </c>
      <c r="F21" s="6" t="s">
        <v>32</v>
      </c>
      <c r="G21" s="6"/>
      <c r="H21" s="30" t="s">
        <v>22</v>
      </c>
      <c r="I21" s="30" t="s">
        <v>23</v>
      </c>
      <c r="J21" s="30" t="s">
        <v>23</v>
      </c>
      <c r="K21" s="30" t="s">
        <v>23</v>
      </c>
      <c r="L21" s="7" t="str">
        <f>"{properties=0x08, handle=0x"&amp;TEXT(B22,"0000")&amp;", UUID=0x"&amp;TEXT(C22,"0000")&amp;"}"</f>
        <v>{properties=0x08, handle=0x0027, UUID=0xB002}</v>
      </c>
      <c r="M21" s="7"/>
    </row>
    <row r="22" spans="1:13" x14ac:dyDescent="0.2">
      <c r="A22" s="26">
        <f>A21+1</f>
        <v>39</v>
      </c>
      <c r="B22" s="1" t="str">
        <f t="shared" si="0"/>
        <v>0027</v>
      </c>
      <c r="C22" s="13" t="str">
        <f>UUIDLOOKUP(G22,'UUID Table'!$C$10:$C$201,'UUID Table'!$D$10:$D$201)</f>
        <v>B002</v>
      </c>
      <c r="D22" s="13" t="str">
        <f>UUIDLOOKUP(G22,'UUID Table'!$C$10:$C$201,'UUID Table'!$E$10:$E$201)</f>
        <v>0000B00200001000800000805F9B34FB</v>
      </c>
      <c r="G22" s="42" t="s">
        <v>382</v>
      </c>
      <c r="H22" s="71" t="s">
        <v>23</v>
      </c>
      <c r="I22" s="71" t="s">
        <v>22</v>
      </c>
      <c r="J22" s="71" t="s">
        <v>23</v>
      </c>
      <c r="K22" s="1" t="s">
        <v>23</v>
      </c>
      <c r="L22" s="69" t="s">
        <v>408</v>
      </c>
    </row>
    <row r="23" spans="1:13" x14ac:dyDescent="0.2">
      <c r="A23" s="35">
        <f>A22+1</f>
        <v>40</v>
      </c>
      <c r="B23" s="5" t="str">
        <f t="shared" ref="B23:B24" si="2">DEC2HEX(A23,4)</f>
        <v>0028</v>
      </c>
      <c r="C23" s="5" t="str">
        <f>UUIDLOOKUP(F23,'UUID Table'!$C$10:$C$201,'UUID Table'!$D$10:$D$201)</f>
        <v>2803</v>
      </c>
      <c r="D23" s="5" t="str">
        <f>UUIDLOOKUP(F23,'UUID Table'!$C$10:$C$201,'UUID Table'!$E$10:$E$201)</f>
        <v>0000280300001000800000805F9B34FB</v>
      </c>
      <c r="E23" s="6" t="s">
        <v>1</v>
      </c>
      <c r="F23" s="6" t="s">
        <v>32</v>
      </c>
      <c r="G23" s="6"/>
      <c r="H23" s="30" t="s">
        <v>22</v>
      </c>
      <c r="I23" s="30" t="s">
        <v>23</v>
      </c>
      <c r="J23" s="30" t="s">
        <v>23</v>
      </c>
      <c r="K23" s="30" t="s">
        <v>23</v>
      </c>
      <c r="L23" s="7" t="str">
        <f>"{properties=0x08, handle=0x"&amp;TEXT(B24,"0000")&amp;", UUID=0x"&amp;TEXT(C24,"0000")&amp;"}"</f>
        <v>{properties=0x08, handle=0x0029, UUID=0xB003}</v>
      </c>
      <c r="M23" s="7"/>
    </row>
    <row r="24" spans="1:13" x14ac:dyDescent="0.2">
      <c r="A24" s="26">
        <f t="shared" si="1"/>
        <v>41</v>
      </c>
      <c r="B24" s="1" t="str">
        <f t="shared" si="2"/>
        <v>0029</v>
      </c>
      <c r="C24" s="13" t="str">
        <f>UUIDLOOKUP(G24,'UUID Table'!$C$10:$C$201,'UUID Table'!$D$10:$D$201)</f>
        <v>B003</v>
      </c>
      <c r="D24" s="13" t="str">
        <f>UUIDLOOKUP(G24,'UUID Table'!$C$10:$C$201,'UUID Table'!$E$10:$E$201)</f>
        <v>0000B00300001000800000805F9B34FB</v>
      </c>
      <c r="G24" s="42" t="s">
        <v>383</v>
      </c>
      <c r="H24" s="71" t="s">
        <v>23</v>
      </c>
      <c r="I24" s="71" t="s">
        <v>22</v>
      </c>
      <c r="J24" s="71" t="s">
        <v>23</v>
      </c>
      <c r="K24" s="1" t="s">
        <v>23</v>
      </c>
      <c r="L24" s="69" t="s">
        <v>410</v>
      </c>
    </row>
    <row r="25" spans="1:13" x14ac:dyDescent="0.2">
      <c r="A25" s="40">
        <v>48</v>
      </c>
      <c r="B25" s="8" t="str">
        <f t="shared" si="0"/>
        <v>0030</v>
      </c>
      <c r="C25" s="8" t="str">
        <f>UUIDLOOKUP(E25,'UUID Table'!$C$10:$C$201,'UUID Table'!$D$10:$D$201)</f>
        <v>2800</v>
      </c>
      <c r="D25" s="8" t="str">
        <f>UUIDLOOKUP(E25,'UUID Table'!$C$10:$C$201,'UUID Table'!$E$10:$E$201)</f>
        <v>0000280000001000800000805F9B34FB</v>
      </c>
      <c r="E25" s="67" t="s">
        <v>376</v>
      </c>
      <c r="F25" s="8"/>
      <c r="G25" s="8"/>
      <c r="H25" s="8" t="s">
        <v>22</v>
      </c>
      <c r="I25" s="8" t="s">
        <v>23</v>
      </c>
      <c r="J25" s="8" t="s">
        <v>23</v>
      </c>
      <c r="K25" s="8" t="s">
        <v>23</v>
      </c>
      <c r="L25" s="10" t="str">
        <f>"{Service=0x"&amp;TEXT('UUID Table'!$D$145,"0000")&amp;" (""Service B.4"")}"</f>
        <v>{Service=0xA00B ("Service B.4")}</v>
      </c>
      <c r="M25" s="10"/>
    </row>
    <row r="26" spans="1:13" x14ac:dyDescent="0.2">
      <c r="A26" s="35">
        <f>A25+1</f>
        <v>49</v>
      </c>
      <c r="B26" s="5" t="str">
        <f t="shared" si="0"/>
        <v>0031</v>
      </c>
      <c r="C26" s="5" t="str">
        <f>UUIDLOOKUP(F26,'UUID Table'!$C$10:$C$201,'UUID Table'!$D$10:$D$201)</f>
        <v>2803</v>
      </c>
      <c r="D26" s="5" t="str">
        <f>UUIDLOOKUP(F26,'UUID Table'!$C$10:$C$201,'UUID Table'!$E$10:$E$201)</f>
        <v>0000280300001000800000805F9B34FB</v>
      </c>
      <c r="E26" s="6" t="s">
        <v>1</v>
      </c>
      <c r="F26" s="6" t="s">
        <v>32</v>
      </c>
      <c r="G26" s="6"/>
      <c r="H26" s="30" t="s">
        <v>22</v>
      </c>
      <c r="I26" s="30" t="s">
        <v>23</v>
      </c>
      <c r="J26" s="30" t="s">
        <v>23</v>
      </c>
      <c r="K26" s="30" t="s">
        <v>23</v>
      </c>
      <c r="L26" s="7" t="str">
        <f>"{properties=0x08, handle=0x"&amp;TEXT(B27,"0000")&amp;", UUID=0x"&amp;TEXT(C27,"0000")&amp;"}"</f>
        <v>{properties=0x08, handle=0x0032, UUID=0xB007}</v>
      </c>
      <c r="M26" s="7"/>
    </row>
    <row r="27" spans="1:13" x14ac:dyDescent="0.2">
      <c r="A27" s="26">
        <f>A26+1</f>
        <v>50</v>
      </c>
      <c r="B27" s="1" t="str">
        <f t="shared" si="0"/>
        <v>0032</v>
      </c>
      <c r="C27" s="13" t="str">
        <f>UUIDLOOKUP(G27,'UUID Table'!$C$10:$C$201,'UUID Table'!$D$10:$D$201)</f>
        <v>B007</v>
      </c>
      <c r="D27" s="13" t="str">
        <f>UUIDLOOKUP(G27,'UUID Table'!$C$10:$C$201,'UUID Table'!$E$10:$E$201)</f>
        <v>0000B00700001000800000805F9B34FB</v>
      </c>
      <c r="G27" s="42" t="s">
        <v>387</v>
      </c>
      <c r="H27" s="71" t="s">
        <v>23</v>
      </c>
      <c r="I27" s="71" t="s">
        <v>22</v>
      </c>
      <c r="J27" s="71" t="s">
        <v>23</v>
      </c>
      <c r="K27" s="1" t="s">
        <v>23</v>
      </c>
      <c r="L27" s="69" t="s">
        <v>418</v>
      </c>
    </row>
    <row r="28" spans="1:13" x14ac:dyDescent="0.2">
      <c r="A28" s="40">
        <v>64</v>
      </c>
      <c r="B28" s="8" t="str">
        <f t="shared" ref="B28:B116" si="3">DEC2HEX(A28,4)</f>
        <v>0040</v>
      </c>
      <c r="C28" s="8" t="str">
        <f>UUIDLOOKUP(E28,'UUID Table'!$C$10:$C$201,'UUID Table'!$D$10:$D$201)</f>
        <v>2800</v>
      </c>
      <c r="D28" s="8" t="str">
        <f>UUIDLOOKUP(E28,'UUID Table'!$C$10:$C$201,'UUID Table'!$E$10:$E$201)</f>
        <v>0000280000001000800000805F9B34FB</v>
      </c>
      <c r="E28" s="67" t="s">
        <v>376</v>
      </c>
      <c r="F28" s="9"/>
      <c r="G28" s="9"/>
      <c r="H28" s="29" t="s">
        <v>22</v>
      </c>
      <c r="I28" s="29" t="s">
        <v>23</v>
      </c>
      <c r="J28" s="29" t="s">
        <v>23</v>
      </c>
      <c r="K28" s="29" t="s">
        <v>23</v>
      </c>
      <c r="L28" s="10" t="str">
        <f>"{Service=0x"&amp;TEXT('UUID Table'!$D$132,"0000")&amp;" (""Generic Access Profile"")}"</f>
        <v>{Service=0x1800 ("Generic Access Profile")}</v>
      </c>
      <c r="M28" s="10"/>
    </row>
    <row r="29" spans="1:13" x14ac:dyDescent="0.2">
      <c r="A29" s="34">
        <f t="shared" ref="A29:A34" si="4">A28+1</f>
        <v>65</v>
      </c>
      <c r="B29" s="5" t="str">
        <f t="shared" si="3"/>
        <v>0041</v>
      </c>
      <c r="C29" s="5" t="str">
        <f>UUIDLOOKUP(F29,'UUID Table'!$C$10:$C$201,'UUID Table'!$D$10:$D$201)</f>
        <v>2803</v>
      </c>
      <c r="D29" s="5" t="str">
        <f>UUIDLOOKUP(F29,'UUID Table'!$C$10:$C$201,'UUID Table'!$E$10:$E$201)</f>
        <v>0000280300001000800000805F9B34FB</v>
      </c>
      <c r="E29" s="6"/>
      <c r="F29" s="6" t="s">
        <v>32</v>
      </c>
      <c r="G29" s="6"/>
      <c r="H29" s="30" t="s">
        <v>22</v>
      </c>
      <c r="I29" s="30" t="s">
        <v>23</v>
      </c>
      <c r="J29" s="30" t="s">
        <v>23</v>
      </c>
      <c r="K29" s="30" t="s">
        <v>23</v>
      </c>
      <c r="L29" s="7" t="str">
        <f>"{properties=0x02, handle=0x"&amp;TEXT(B30,"0000")&amp;", UUID=0x"&amp;TEXT(C30,"0000")&amp;"}"</f>
        <v>{properties=0x02, handle=0x0042, UUID=0x2A00}</v>
      </c>
      <c r="M29" s="7"/>
    </row>
    <row r="30" spans="1:13" x14ac:dyDescent="0.2">
      <c r="A30" s="26">
        <f t="shared" si="4"/>
        <v>66</v>
      </c>
      <c r="B30" s="1" t="str">
        <f t="shared" si="3"/>
        <v>0042</v>
      </c>
      <c r="C30" s="13" t="str">
        <f>UUIDLOOKUP(G30,'UUID Table'!$C$10:$C$201,'UUID Table'!$D$10:$D$201)</f>
        <v>2A00</v>
      </c>
      <c r="D30" s="13" t="str">
        <f>UUIDLOOKUP(G30,'UUID Table'!$C$10:$C$201,'UUID Table'!$E$10:$E$201)</f>
        <v>00002A0000001000800000805F9B34FB</v>
      </c>
      <c r="E30" s="23"/>
      <c r="F30" s="23"/>
      <c r="G30" s="42" t="s">
        <v>2</v>
      </c>
      <c r="H30" s="1" t="s">
        <v>22</v>
      </c>
      <c r="I30" s="1" t="s">
        <v>23</v>
      </c>
      <c r="J30" s="1" t="s">
        <v>23</v>
      </c>
      <c r="K30" s="1" t="s">
        <v>23</v>
      </c>
      <c r="L30" s="65" t="s">
        <v>486</v>
      </c>
    </row>
    <row r="31" spans="1:13" x14ac:dyDescent="0.2">
      <c r="A31" s="34">
        <f t="shared" si="4"/>
        <v>67</v>
      </c>
      <c r="B31" s="5" t="str">
        <f t="shared" si="3"/>
        <v>0043</v>
      </c>
      <c r="C31" s="5" t="str">
        <f>UUIDLOOKUP(F31,'UUID Table'!$C$10:$C$201,'UUID Table'!$D$10:$D$201)</f>
        <v>2803</v>
      </c>
      <c r="D31" s="5"/>
      <c r="E31" s="6"/>
      <c r="F31" s="6" t="s">
        <v>32</v>
      </c>
      <c r="G31" s="6"/>
      <c r="H31" s="30" t="s">
        <v>22</v>
      </c>
      <c r="I31" s="30" t="s">
        <v>23</v>
      </c>
      <c r="J31" s="30" t="s">
        <v>23</v>
      </c>
      <c r="K31" s="30" t="s">
        <v>23</v>
      </c>
      <c r="L31" s="7" t="str">
        <f>"{properties=0x02, handle=0x"&amp;TEXT(B32,"0000")&amp;", UUID=0x"&amp;TEXT(C32,"0000")&amp;"}"</f>
        <v>{properties=0x02, handle=0x0044, UUID=0x2A01}</v>
      </c>
      <c r="M31" s="7"/>
    </row>
    <row r="32" spans="1:13" x14ac:dyDescent="0.2">
      <c r="A32" s="26">
        <f t="shared" si="4"/>
        <v>68</v>
      </c>
      <c r="B32" s="1" t="str">
        <f t="shared" si="3"/>
        <v>0044</v>
      </c>
      <c r="C32" s="13" t="str">
        <f>UUIDLOOKUP(G32,'UUID Table'!$C$10:$C$201,'UUID Table'!$D$10:$D$201)</f>
        <v>2A01</v>
      </c>
      <c r="D32" s="13" t="str">
        <f>UUIDLOOKUP(G32,'UUID Table'!$C$10:$C$201,'UUID Table'!$E$10:$E$201)</f>
        <v>00002A0100001000800000805F9B34FB</v>
      </c>
      <c r="E32" s="23"/>
      <c r="F32" s="23"/>
      <c r="G32" s="42" t="s">
        <v>374</v>
      </c>
      <c r="H32" s="1" t="s">
        <v>22</v>
      </c>
      <c r="I32" s="1" t="s">
        <v>23</v>
      </c>
      <c r="J32" s="1" t="s">
        <v>23</v>
      </c>
      <c r="K32" s="1" t="s">
        <v>23</v>
      </c>
      <c r="L32" s="36">
        <v>17</v>
      </c>
    </row>
    <row r="33" spans="1:13" x14ac:dyDescent="0.2">
      <c r="A33" s="35">
        <f t="shared" si="4"/>
        <v>69</v>
      </c>
      <c r="B33" s="5" t="str">
        <f t="shared" si="3"/>
        <v>0045</v>
      </c>
      <c r="C33" s="5" t="str">
        <f>UUIDLOOKUP(F33,'UUID Table'!$C$10:$C$201,'UUID Table'!$D$10:$D$201)</f>
        <v>2803</v>
      </c>
      <c r="D33" s="5"/>
      <c r="E33" s="6"/>
      <c r="F33" s="6" t="s">
        <v>32</v>
      </c>
      <c r="G33" s="6"/>
      <c r="H33" s="30" t="s">
        <v>22</v>
      </c>
      <c r="I33" s="30" t="s">
        <v>23</v>
      </c>
      <c r="J33" s="30" t="s">
        <v>23</v>
      </c>
      <c r="K33" s="30" t="s">
        <v>23</v>
      </c>
      <c r="L33" s="7" t="str">
        <f>"{properties=0x02, handle=0x"&amp;TEXT(B34,"0000")&amp;", UUID=0x"&amp;TEXT(C34,"0000")&amp;"}"</f>
        <v>{properties=0x02, handle=0x0046, UUID=0x2A04}</v>
      </c>
      <c r="M33" s="7"/>
    </row>
    <row r="34" spans="1:13" ht="25.5" x14ac:dyDescent="0.2">
      <c r="A34" s="26">
        <f t="shared" si="4"/>
        <v>70</v>
      </c>
      <c r="B34" s="1" t="str">
        <f t="shared" si="3"/>
        <v>0046</v>
      </c>
      <c r="C34" s="13" t="str">
        <f>UUIDLOOKUP(G34,'UUID Table'!$C$10:$C$201,'UUID Table'!$D$10:$D$201)</f>
        <v>2A04</v>
      </c>
      <c r="D34" s="13" t="str">
        <f>UUIDLOOKUP(G34,'UUID Table'!$C$10:$C$201,'UUID Table'!$E$10:$E$201)</f>
        <v>00002A0400001000800000805F9B34FB</v>
      </c>
      <c r="E34" s="23"/>
      <c r="F34" s="23"/>
      <c r="G34" s="42" t="s">
        <v>375</v>
      </c>
      <c r="H34" s="1" t="s">
        <v>22</v>
      </c>
      <c r="I34" s="1" t="s">
        <v>23</v>
      </c>
      <c r="J34" s="1" t="s">
        <v>23</v>
      </c>
      <c r="K34" s="1" t="s">
        <v>23</v>
      </c>
      <c r="L34" s="69" t="s">
        <v>378</v>
      </c>
      <c r="M34" s="65"/>
    </row>
    <row r="35" spans="1:13" x14ac:dyDescent="0.2">
      <c r="A35" s="40">
        <v>80</v>
      </c>
      <c r="B35" s="8" t="str">
        <f t="shared" si="3"/>
        <v>0050</v>
      </c>
      <c r="C35" s="8" t="str">
        <f>UUIDLOOKUP(E35,'UUID Table'!$C$10:$C$201,'UUID Table'!$D$10:$D$201)</f>
        <v>2800</v>
      </c>
      <c r="D35" s="8" t="str">
        <f>UUIDLOOKUP(E35,'UUID Table'!$C$10:$C$201,'UUID Table'!$E$10:$E$201)</f>
        <v>0000280000001000800000805F9B34FB</v>
      </c>
      <c r="E35" s="67" t="s">
        <v>376</v>
      </c>
      <c r="F35" s="8"/>
      <c r="G35" s="8"/>
      <c r="H35" s="8" t="s">
        <v>22</v>
      </c>
      <c r="I35" s="8" t="s">
        <v>23</v>
      </c>
      <c r="J35" s="8" t="s">
        <v>23</v>
      </c>
      <c r="K35" s="8" t="s">
        <v>23</v>
      </c>
      <c r="L35" s="10" t="str">
        <f>"{Service=0x"&amp;TEXT('UUID Table'!$D$145,"0000")&amp;" (""Service B.3"")}"</f>
        <v>{Service=0xA00B ("Service B.3")}</v>
      </c>
      <c r="M35" s="10"/>
    </row>
    <row r="36" spans="1:13" x14ac:dyDescent="0.2">
      <c r="A36" s="35">
        <f>A35+1</f>
        <v>81</v>
      </c>
      <c r="B36" s="5" t="str">
        <f t="shared" si="3"/>
        <v>0051</v>
      </c>
      <c r="C36" s="5" t="str">
        <f>UUIDLOOKUP(F36,'UUID Table'!$C$10:$C$201,'UUID Table'!$D$10:$D$201)</f>
        <v>2803</v>
      </c>
      <c r="D36" s="5" t="str">
        <f>UUIDLOOKUP(F36,'UUID Table'!$C$10:$C$201,'UUID Table'!$E$10:$E$201)</f>
        <v>0000280300001000800000805F9B34FB</v>
      </c>
      <c r="E36" s="6" t="s">
        <v>1</v>
      </c>
      <c r="F36" s="6" t="s">
        <v>32</v>
      </c>
      <c r="G36" s="6"/>
      <c r="H36" s="30" t="s">
        <v>22</v>
      </c>
      <c r="I36" s="30" t="s">
        <v>23</v>
      </c>
      <c r="J36" s="30" t="s">
        <v>23</v>
      </c>
      <c r="K36" s="30" t="s">
        <v>23</v>
      </c>
      <c r="L36" s="7" t="str">
        <f>"{properties=0x1E, handle=0x"&amp;TEXT(B37,"0000")&amp;", UUID=0x"&amp;TEXT(C37,"0000")&amp;"}"</f>
        <v>{properties=0x1E, handle=0x0052, UUID=0xB006}</v>
      </c>
      <c r="M36" s="7" t="s">
        <v>420</v>
      </c>
    </row>
    <row r="37" spans="1:13" x14ac:dyDescent="0.2">
      <c r="A37" s="26">
        <f>A36+1</f>
        <v>82</v>
      </c>
      <c r="B37" s="1" t="str">
        <f t="shared" si="3"/>
        <v>0052</v>
      </c>
      <c r="C37" s="13" t="str">
        <f>UUIDLOOKUP(G37,'UUID Table'!$C$10:$C$201,'UUID Table'!$D$10:$D$201)</f>
        <v>B006</v>
      </c>
      <c r="D37" s="13" t="str">
        <f>UUIDLOOKUP(G37,'UUID Table'!$C$10:$C$201,'UUID Table'!$E$10:$E$201)</f>
        <v>0000B00600001000800000805F9B34FB</v>
      </c>
      <c r="G37" s="42" t="s">
        <v>386</v>
      </c>
      <c r="H37" s="1" t="s">
        <v>22</v>
      </c>
      <c r="I37" s="71" t="s">
        <v>22</v>
      </c>
      <c r="J37" s="71" t="s">
        <v>23</v>
      </c>
      <c r="K37" s="71" t="s">
        <v>22</v>
      </c>
      <c r="L37" s="69" t="s">
        <v>417</v>
      </c>
    </row>
    <row r="38" spans="1:13" x14ac:dyDescent="0.2">
      <c r="A38" s="26">
        <f>A37+1</f>
        <v>83</v>
      </c>
      <c r="B38" s="1" t="str">
        <f t="shared" si="3"/>
        <v>0053</v>
      </c>
      <c r="C38" s="13" t="str">
        <f>UUIDLOOKUP(G38,'UUID Table'!$C$10:$C$201,'UUID Table'!$D$10:$D$201)</f>
        <v>2902</v>
      </c>
      <c r="D38" s="13" t="str">
        <f>UUIDLOOKUP(G38,'UUID Table'!$C$10:$C$201,'UUID Table'!$E$10:$E$201)</f>
        <v>0000290200001000800000805F9B34FB</v>
      </c>
      <c r="G38" s="42" t="s">
        <v>363</v>
      </c>
      <c r="H38" s="71" t="s">
        <v>22</v>
      </c>
      <c r="I38" s="71" t="s">
        <v>22</v>
      </c>
      <c r="J38" s="71" t="s">
        <v>23</v>
      </c>
      <c r="K38" s="71" t="s">
        <v>23</v>
      </c>
      <c r="L38" s="69" t="s">
        <v>590</v>
      </c>
    </row>
    <row r="39" spans="1:13" x14ac:dyDescent="0.2">
      <c r="A39" s="40">
        <v>96</v>
      </c>
      <c r="B39" s="8" t="str">
        <f t="shared" si="3"/>
        <v>0060</v>
      </c>
      <c r="C39" s="8" t="str">
        <f>UUIDLOOKUP(E39,'UUID Table'!$C$10:$C$201,'UUID Table'!$D$10:$D$201)</f>
        <v>2800</v>
      </c>
      <c r="D39" s="8" t="str">
        <f>UUIDLOOKUP(E39,'UUID Table'!$C$10:$C$201,'UUID Table'!$E$10:$E$201)</f>
        <v>0000280000001000800000805F9B34FB</v>
      </c>
      <c r="E39" s="67" t="s">
        <v>376</v>
      </c>
      <c r="F39" s="8"/>
      <c r="G39" s="8"/>
      <c r="H39" s="8" t="s">
        <v>22</v>
      </c>
      <c r="I39" s="8" t="s">
        <v>23</v>
      </c>
      <c r="J39" s="8" t="s">
        <v>23</v>
      </c>
      <c r="K39" s="8" t="s">
        <v>23</v>
      </c>
      <c r="L39" s="10" t="str">
        <f>"{Service=0x"&amp;TEXT('UUID Table'!$D$145,"0000")&amp;" (""Service B.1"")}"</f>
        <v>{Service=0xA00B ("Service B.1")}</v>
      </c>
      <c r="M39" s="10"/>
    </row>
    <row r="40" spans="1:13" x14ac:dyDescent="0.2">
      <c r="A40" s="35">
        <f>A39+1</f>
        <v>97</v>
      </c>
      <c r="B40" s="5" t="str">
        <f t="shared" si="3"/>
        <v>0061</v>
      </c>
      <c r="C40" s="5" t="str">
        <f>UUIDLOOKUP(F40,'UUID Table'!$C$10:$C$201,'UUID Table'!$D$10:$D$201)</f>
        <v>2803</v>
      </c>
      <c r="D40" s="5" t="str">
        <f>UUIDLOOKUP(F40,'UUID Table'!$C$10:$C$201,'UUID Table'!$E$10:$E$201)</f>
        <v>0000280300001000800000805F9B34FB</v>
      </c>
      <c r="E40" s="6" t="s">
        <v>1</v>
      </c>
      <c r="F40" s="6" t="s">
        <v>32</v>
      </c>
      <c r="G40" s="6"/>
      <c r="H40" s="30" t="s">
        <v>22</v>
      </c>
      <c r="I40" s="30" t="s">
        <v>23</v>
      </c>
      <c r="J40" s="30" t="s">
        <v>23</v>
      </c>
      <c r="K40" s="30" t="s">
        <v>23</v>
      </c>
      <c r="L40" s="7" t="str">
        <f>"{properties=0x0A, handle=0x"&amp;TEXT(B41,"0000")&amp;", UUID=0x"&amp;TEXT(C41,"0000")&amp;"}"</f>
        <v>{properties=0x0A, handle=0x0062, UUID=0xB004}</v>
      </c>
      <c r="M40" s="7"/>
    </row>
    <row r="41" spans="1:13" x14ac:dyDescent="0.2">
      <c r="A41" s="26">
        <f>A40+1</f>
        <v>98</v>
      </c>
      <c r="B41" s="1" t="str">
        <f t="shared" si="3"/>
        <v>0062</v>
      </c>
      <c r="C41" s="13" t="str">
        <f>UUIDLOOKUP(G41,'UUID Table'!$C$10:$C$201,'UUID Table'!$D$10:$D$201)</f>
        <v>B004</v>
      </c>
      <c r="D41" s="13" t="str">
        <f>UUIDLOOKUP(G41,'UUID Table'!$C$10:$C$201,'UUID Table'!$E$10:$E$201)</f>
        <v>0000B00400001000800000805F9B34FB</v>
      </c>
      <c r="G41" s="42" t="s">
        <v>401</v>
      </c>
      <c r="H41" s="1" t="s">
        <v>22</v>
      </c>
      <c r="I41" s="71" t="s">
        <v>24</v>
      </c>
      <c r="J41" s="71" t="s">
        <v>23</v>
      </c>
      <c r="K41" s="1" t="s">
        <v>23</v>
      </c>
      <c r="L41" s="36" t="s">
        <v>350</v>
      </c>
    </row>
    <row r="42" spans="1:13" x14ac:dyDescent="0.2">
      <c r="A42" s="35">
        <f>A41+1</f>
        <v>99</v>
      </c>
      <c r="B42" s="5" t="str">
        <f t="shared" ref="B42:B44" si="5">DEC2HEX(A42,4)</f>
        <v>0063</v>
      </c>
      <c r="C42" s="5" t="str">
        <f>UUIDLOOKUP(F42,'UUID Table'!$C$10:$C$201,'UUID Table'!$D$10:$D$201)</f>
        <v>2803</v>
      </c>
      <c r="D42" s="5" t="str">
        <f>UUIDLOOKUP(F42,'UUID Table'!$C$10:$C$201,'UUID Table'!$E$10:$E$201)</f>
        <v>0000280300001000800000805F9B34FB</v>
      </c>
      <c r="E42" s="6" t="s">
        <v>1</v>
      </c>
      <c r="F42" s="6" t="s">
        <v>32</v>
      </c>
      <c r="G42" s="6"/>
      <c r="H42" s="30" t="s">
        <v>22</v>
      </c>
      <c r="I42" s="30" t="s">
        <v>23</v>
      </c>
      <c r="J42" s="30" t="s">
        <v>23</v>
      </c>
      <c r="K42" s="30" t="s">
        <v>23</v>
      </c>
      <c r="L42" s="7" t="str">
        <f>"{properties=0x0A, handle=0x"&amp;TEXT(B43,"0000")&amp;", UUID=0x"&amp;TEXT(C43,"0000")&amp;"}"</f>
        <v>{properties=0x0A, handle=0x0064, UUID=0xB004}</v>
      </c>
      <c r="M42" s="7"/>
    </row>
    <row r="43" spans="1:13" x14ac:dyDescent="0.2">
      <c r="A43" s="26">
        <f>A42+1</f>
        <v>100</v>
      </c>
      <c r="B43" s="1" t="str">
        <f t="shared" si="5"/>
        <v>0064</v>
      </c>
      <c r="C43" s="13" t="str">
        <f>UUIDLOOKUP(G43,'UUID Table'!$C$10:$C$201,'UUID Table'!$D$10:$D$201)</f>
        <v>B004</v>
      </c>
      <c r="D43" s="13" t="str">
        <f>UUIDLOOKUP(G43,'UUID Table'!$C$10:$C$201,'UUID Table'!$E$10:$E$201)</f>
        <v>0000B00400001000800000805F9B34FB</v>
      </c>
      <c r="G43" s="42" t="s">
        <v>401</v>
      </c>
      <c r="H43" s="1" t="s">
        <v>22</v>
      </c>
      <c r="I43" s="71" t="s">
        <v>22</v>
      </c>
      <c r="J43" s="71" t="s">
        <v>23</v>
      </c>
      <c r="K43" s="1" t="s">
        <v>23</v>
      </c>
      <c r="L43" s="69" t="s">
        <v>350</v>
      </c>
    </row>
    <row r="44" spans="1:13" x14ac:dyDescent="0.2">
      <c r="A44" s="26">
        <f t="shared" ref="A44:A57" si="6">A43+1</f>
        <v>101</v>
      </c>
      <c r="B44" s="1" t="str">
        <f t="shared" si="5"/>
        <v>0065</v>
      </c>
      <c r="C44" s="13" t="str">
        <f>UUIDLOOKUP(G44,'UUID Table'!$C$10:$C$201,'UUID Table'!$D$10:$D$201)</f>
        <v>2903</v>
      </c>
      <c r="D44" s="13" t="str">
        <f>UUIDLOOKUP(G44,'UUID Table'!$C$10:$C$201,'UUID Table'!$E$10:$E$201)</f>
        <v>0000290300001000800000805F9B34FB</v>
      </c>
      <c r="G44" s="65" t="s">
        <v>362</v>
      </c>
      <c r="H44" s="1" t="s">
        <v>22</v>
      </c>
      <c r="I44" s="1" t="s">
        <v>22</v>
      </c>
      <c r="J44" s="71" t="s">
        <v>23</v>
      </c>
      <c r="K44" s="1" t="s">
        <v>23</v>
      </c>
      <c r="L44" s="65" t="s">
        <v>590</v>
      </c>
      <c r="M44" s="68" t="s">
        <v>591</v>
      </c>
    </row>
    <row r="45" spans="1:13" x14ac:dyDescent="0.2">
      <c r="A45" s="35">
        <f t="shared" ref="A45:A50" si="7">A44+1</f>
        <v>102</v>
      </c>
      <c r="B45" s="5" t="str">
        <f t="shared" ref="B45:B47" si="8">DEC2HEX(A45,4)</f>
        <v>0066</v>
      </c>
      <c r="C45" s="5" t="str">
        <f>UUIDLOOKUP(F45,'UUID Table'!$C$10:$C$201,'UUID Table'!$D$10:$D$201)</f>
        <v>2803</v>
      </c>
      <c r="D45" s="5" t="str">
        <f>UUIDLOOKUP(F45,'UUID Table'!$C$10:$C$201,'UUID Table'!$E$10:$E$201)</f>
        <v>0000280300001000800000805F9B34FB</v>
      </c>
      <c r="E45" s="6" t="s">
        <v>1</v>
      </c>
      <c r="F45" s="6" t="s">
        <v>32</v>
      </c>
      <c r="G45" s="6"/>
      <c r="H45" s="30" t="s">
        <v>22</v>
      </c>
      <c r="I45" s="30" t="s">
        <v>23</v>
      </c>
      <c r="J45" s="30" t="s">
        <v>23</v>
      </c>
      <c r="K45" s="30" t="s">
        <v>23</v>
      </c>
      <c r="L45" s="7" t="str">
        <f>"{properties=0x00, handle=0x"&amp;TEXT(B46,"0000")&amp;", UUID=0x"&amp;TEXT(C46,"0000")&amp;"}"</f>
        <v>{properties=0x00, handle=0x0067, UUID=0xB004}</v>
      </c>
      <c r="M45" s="7"/>
    </row>
    <row r="46" spans="1:13" x14ac:dyDescent="0.2">
      <c r="A46" s="26">
        <f t="shared" si="7"/>
        <v>103</v>
      </c>
      <c r="B46" s="1" t="str">
        <f t="shared" si="8"/>
        <v>0067</v>
      </c>
      <c r="C46" s="13" t="str">
        <f>UUIDLOOKUP(G46,'UUID Table'!$C$10:$C$201,'UUID Table'!$D$10:$D$201)</f>
        <v>B004</v>
      </c>
      <c r="D46" s="13" t="str">
        <f>UUIDLOOKUP(G46,'UUID Table'!$C$10:$C$201,'UUID Table'!$E$10:$E$201)</f>
        <v>0000B00400001000800000805F9B34FB</v>
      </c>
      <c r="G46" s="42" t="s">
        <v>401</v>
      </c>
      <c r="H46" s="71" t="s">
        <v>23</v>
      </c>
      <c r="I46" s="71" t="s">
        <v>23</v>
      </c>
      <c r="J46" s="71" t="s">
        <v>23</v>
      </c>
      <c r="K46" s="1" t="s">
        <v>23</v>
      </c>
      <c r="L46" s="69" t="s">
        <v>350</v>
      </c>
    </row>
    <row r="47" spans="1:13" x14ac:dyDescent="0.2">
      <c r="A47" s="26">
        <f t="shared" si="7"/>
        <v>104</v>
      </c>
      <c r="B47" s="1" t="str">
        <f t="shared" si="8"/>
        <v>0068</v>
      </c>
      <c r="C47" s="13" t="str">
        <f>UUIDLOOKUP(G47,'UUID Table'!$C$10:$C$201,'UUID Table'!$D$10:$D$201)</f>
        <v>B012</v>
      </c>
      <c r="D47" s="13"/>
      <c r="G47" s="65" t="s">
        <v>563</v>
      </c>
      <c r="H47" s="71" t="s">
        <v>23</v>
      </c>
      <c r="I47" s="71" t="s">
        <v>23</v>
      </c>
      <c r="J47" s="71" t="s">
        <v>23</v>
      </c>
      <c r="K47" s="71" t="s">
        <v>23</v>
      </c>
      <c r="L47" s="69" t="s">
        <v>566</v>
      </c>
      <c r="M47" s="68" t="s">
        <v>571</v>
      </c>
    </row>
    <row r="48" spans="1:13" x14ac:dyDescent="0.2">
      <c r="A48" s="35">
        <f t="shared" si="7"/>
        <v>105</v>
      </c>
      <c r="B48" s="5" t="str">
        <f t="shared" ref="B48:B50" si="9">DEC2HEX(A48,4)</f>
        <v>0069</v>
      </c>
      <c r="C48" s="5" t="str">
        <f>UUIDLOOKUP(F48,'UUID Table'!$C$10:$C$201,'UUID Table'!$D$10:$D$201)</f>
        <v>2803</v>
      </c>
      <c r="D48" s="5" t="str">
        <f>UUIDLOOKUP(F48,'UUID Table'!$C$10:$C$201,'UUID Table'!$E$10:$E$201)</f>
        <v>0000280300001000800000805F9B34FB</v>
      </c>
      <c r="E48" s="6" t="s">
        <v>1</v>
      </c>
      <c r="F48" s="6" t="s">
        <v>32</v>
      </c>
      <c r="G48" s="6"/>
      <c r="H48" s="30" t="s">
        <v>22</v>
      </c>
      <c r="I48" s="30" t="s">
        <v>23</v>
      </c>
      <c r="J48" s="30" t="s">
        <v>23</v>
      </c>
      <c r="K48" s="30" t="s">
        <v>23</v>
      </c>
      <c r="L48" s="7" t="str">
        <f>"{properties=0x02, handle=0x"&amp;TEXT(B49,"0000")&amp;", UUID=0x"&amp;TEXT(C49,"0000")&amp;"}"</f>
        <v>{properties=0x02, handle=0x006A, UUID=0xB004}</v>
      </c>
      <c r="M48" s="7"/>
    </row>
    <row r="49" spans="1:13" x14ac:dyDescent="0.2">
      <c r="A49" s="26">
        <f t="shared" si="7"/>
        <v>106</v>
      </c>
      <c r="B49" s="1" t="str">
        <f t="shared" si="9"/>
        <v>006A</v>
      </c>
      <c r="C49" s="13" t="str">
        <f>UUIDLOOKUP(G49,'UUID Table'!$C$10:$C$201,'UUID Table'!$D$10:$D$201)</f>
        <v>B004</v>
      </c>
      <c r="D49" s="13" t="str">
        <f>UUIDLOOKUP(G49,'UUID Table'!$C$10:$C$201,'UUID Table'!$E$10:$E$201)</f>
        <v>0000B00400001000800000805F9B34FB</v>
      </c>
      <c r="G49" s="42" t="s">
        <v>401</v>
      </c>
      <c r="H49" s="71" t="s">
        <v>22</v>
      </c>
      <c r="I49" s="71" t="s">
        <v>23</v>
      </c>
      <c r="J49" s="71" t="s">
        <v>23</v>
      </c>
      <c r="K49" s="1" t="s">
        <v>23</v>
      </c>
      <c r="L49" s="69" t="s">
        <v>566</v>
      </c>
    </row>
    <row r="50" spans="1:13" x14ac:dyDescent="0.2">
      <c r="A50" s="26">
        <f t="shared" si="7"/>
        <v>107</v>
      </c>
      <c r="B50" s="1" t="str">
        <f t="shared" si="9"/>
        <v>006B</v>
      </c>
      <c r="C50" s="13" t="str">
        <f>UUIDLOOKUP(G50,'UUID Table'!$C$10:$C$201,'UUID Table'!$D$10:$D$201)</f>
        <v>B012</v>
      </c>
      <c r="D50" s="13"/>
      <c r="G50" s="65" t="s">
        <v>563</v>
      </c>
      <c r="H50" s="71" t="s">
        <v>22</v>
      </c>
      <c r="I50" s="71" t="s">
        <v>23</v>
      </c>
      <c r="J50" s="71" t="s">
        <v>23</v>
      </c>
      <c r="K50" s="71" t="s">
        <v>23</v>
      </c>
      <c r="L50" s="69" t="s">
        <v>566</v>
      </c>
      <c r="M50" s="68" t="s">
        <v>571</v>
      </c>
    </row>
    <row r="51" spans="1:13" x14ac:dyDescent="0.2">
      <c r="A51" s="40">
        <v>112</v>
      </c>
      <c r="B51" s="8" t="str">
        <f t="shared" si="3"/>
        <v>0070</v>
      </c>
      <c r="C51" s="8" t="str">
        <f>UUIDLOOKUP(E51,'UUID Table'!$C$10:$C$201,'UUID Table'!$D$10:$D$201)</f>
        <v>2800</v>
      </c>
      <c r="D51" s="8" t="str">
        <f>UUIDLOOKUP(E51,'UUID Table'!$C$10:$C$201,'UUID Table'!$E$10:$E$201)</f>
        <v>0000280000001000800000805F9B34FB</v>
      </c>
      <c r="E51" s="67" t="s">
        <v>376</v>
      </c>
      <c r="F51" s="8"/>
      <c r="G51" s="8"/>
      <c r="H51" s="8" t="s">
        <v>22</v>
      </c>
      <c r="I51" s="8" t="s">
        <v>23</v>
      </c>
      <c r="J51" s="8" t="s">
        <v>23</v>
      </c>
      <c r="K51" s="8" t="s">
        <v>23</v>
      </c>
      <c r="L51" s="10" t="str">
        <f>"{Service=0x"&amp;TEXT('UUID Table'!$D$145,"0000")&amp;" (""Service B.2"")}"</f>
        <v>{Service=0xA00B ("Service B.2")}</v>
      </c>
      <c r="M51" s="10"/>
    </row>
    <row r="52" spans="1:13" x14ac:dyDescent="0.2">
      <c r="A52" s="35">
        <f t="shared" si="6"/>
        <v>113</v>
      </c>
      <c r="B52" s="5" t="str">
        <f t="shared" si="3"/>
        <v>0071</v>
      </c>
      <c r="C52" s="5" t="str">
        <f>UUIDLOOKUP(F52,'UUID Table'!$C$10:$C$201,'UUID Table'!$D$10:$D$201)</f>
        <v>2803</v>
      </c>
      <c r="D52" s="5" t="str">
        <f>UUIDLOOKUP(F52,'UUID Table'!$C$10:$C$201,'UUID Table'!$E$10:$E$201)</f>
        <v>0000280300001000800000805F9B34FB</v>
      </c>
      <c r="E52" s="6" t="s">
        <v>1</v>
      </c>
      <c r="F52" s="6" t="s">
        <v>32</v>
      </c>
      <c r="G52" s="6"/>
      <c r="H52" s="30" t="s">
        <v>22</v>
      </c>
      <c r="I52" s="72" t="s">
        <v>23</v>
      </c>
      <c r="J52" s="72" t="s">
        <v>23</v>
      </c>
      <c r="K52" s="30" t="s">
        <v>23</v>
      </c>
      <c r="L52" s="7" t="str">
        <f>"{properties=0x8A, handle=0x"&amp;TEXT(B53,"0000")&amp;", UUID=0x"&amp;TEXT(C53,"0000")&amp;"}"</f>
        <v>{properties=0x8A, handle=0x0072, UUID=0xB005}</v>
      </c>
      <c r="M52" s="7"/>
    </row>
    <row r="53" spans="1:13" x14ac:dyDescent="0.2">
      <c r="A53" s="26">
        <f t="shared" si="6"/>
        <v>114</v>
      </c>
      <c r="B53" s="1" t="str">
        <f t="shared" si="3"/>
        <v>0072</v>
      </c>
      <c r="C53" s="13" t="str">
        <f>UUIDLOOKUP(G53,'UUID Table'!$C$10:$C$201,'UUID Table'!$D$10:$D$201)</f>
        <v>B005</v>
      </c>
      <c r="D53" s="13" t="str">
        <f>UUIDLOOKUP(G53,'UUID Table'!$C$10:$C$201,'UUID Table'!$E$10:$E$201)</f>
        <v>0000B00500001000800000805F9B34FB</v>
      </c>
      <c r="G53" s="42" t="s">
        <v>385</v>
      </c>
      <c r="H53" s="1" t="s">
        <v>22</v>
      </c>
      <c r="I53" s="71" t="s">
        <v>556</v>
      </c>
      <c r="J53" s="71" t="s">
        <v>23</v>
      </c>
      <c r="K53" s="1" t="s">
        <v>23</v>
      </c>
      <c r="L53" s="69" t="s">
        <v>416</v>
      </c>
    </row>
    <row r="54" spans="1:13" x14ac:dyDescent="0.2">
      <c r="A54" s="26">
        <f t="shared" si="6"/>
        <v>115</v>
      </c>
      <c r="B54" s="13" t="str">
        <f t="shared" si="3"/>
        <v>0073</v>
      </c>
      <c r="C54" s="13" t="str">
        <f>UUIDLOOKUP(G54,'UUID Table'!$C$10:$C$201,'UUID Table'!$D$10:$D$201)</f>
        <v>2900</v>
      </c>
      <c r="D54" s="13" t="str">
        <f>UUIDLOOKUP(G54,'UUID Table'!$C$10:$C$201,'UUID Table'!$E$10:$E$201)</f>
        <v>0000290000001000800000805F9B34FB</v>
      </c>
      <c r="G54" s="3" t="s">
        <v>349</v>
      </c>
      <c r="H54" s="27" t="s">
        <v>22</v>
      </c>
      <c r="I54" s="27" t="s">
        <v>23</v>
      </c>
      <c r="J54" s="27" t="s">
        <v>23</v>
      </c>
      <c r="K54" s="27" t="s">
        <v>23</v>
      </c>
      <c r="L54" s="4" t="s">
        <v>351</v>
      </c>
      <c r="M54" s="68" t="s">
        <v>411</v>
      </c>
    </row>
    <row r="55" spans="1:13" x14ac:dyDescent="0.2">
      <c r="A55" s="26">
        <f t="shared" si="6"/>
        <v>116</v>
      </c>
      <c r="B55" s="1" t="str">
        <f t="shared" si="3"/>
        <v>0074</v>
      </c>
      <c r="C55" s="13" t="str">
        <f>UUIDLOOKUP(G55,'UUID Table'!$C$10:$C$201,'UUID Table'!$D$10:$D$201)</f>
        <v>2901</v>
      </c>
      <c r="D55" s="13" t="str">
        <f>UUIDLOOKUP(G55,'UUID Table'!$C$10:$C$201,'UUID Table'!$E$10:$E$201)</f>
        <v>0000290100001000800000805F9B34FB</v>
      </c>
      <c r="G55" s="4" t="s">
        <v>4</v>
      </c>
      <c r="H55" s="1" t="s">
        <v>22</v>
      </c>
      <c r="I55" s="1" t="s">
        <v>22</v>
      </c>
      <c r="J55" s="71" t="s">
        <v>23</v>
      </c>
      <c r="K55" s="1" t="s">
        <v>23</v>
      </c>
      <c r="L55" s="65" t="s">
        <v>413</v>
      </c>
      <c r="M55" s="68" t="s">
        <v>412</v>
      </c>
    </row>
    <row r="56" spans="1:13" x14ac:dyDescent="0.2">
      <c r="A56" s="26">
        <f t="shared" si="6"/>
        <v>117</v>
      </c>
      <c r="B56" s="13" t="str">
        <f t="shared" si="3"/>
        <v>0075</v>
      </c>
      <c r="C56" s="13" t="str">
        <f>UUIDLOOKUP(G56,'UUID Table'!$C$10:$C$201,'UUID Table'!$D$10:$D$201)</f>
        <v>2904</v>
      </c>
      <c r="D56" s="13" t="str">
        <f>UUIDLOOKUP(G56,'UUID Table'!$C$10:$C$201,'UUID Table'!$E$10:$E$201)</f>
        <v>0000290400001000800000805F9B34FB</v>
      </c>
      <c r="G56" s="3" t="s">
        <v>3</v>
      </c>
      <c r="H56" s="27" t="s">
        <v>22</v>
      </c>
      <c r="I56" s="27" t="s">
        <v>23</v>
      </c>
      <c r="J56" s="27" t="s">
        <v>23</v>
      </c>
      <c r="K56" s="27" t="s">
        <v>23</v>
      </c>
      <c r="L56" s="4" t="str">
        <f>"{format=0x04, exp=0x00, unit=0x3001, n_sp=0x01, descr=0x3111}"</f>
        <v>{format=0x04, exp=0x00, unit=0x3001, n_sp=0x01, descr=0x3111}</v>
      </c>
      <c r="M56" s="68" t="s">
        <v>414</v>
      </c>
    </row>
    <row r="57" spans="1:13" x14ac:dyDescent="0.2">
      <c r="A57" s="26">
        <f t="shared" si="6"/>
        <v>118</v>
      </c>
      <c r="B57" s="13" t="str">
        <f t="shared" si="3"/>
        <v>0076</v>
      </c>
      <c r="C57" s="13" t="str">
        <f>UUIDLOOKUP(G57,'UUID Table'!$C$10:$C$201,'UUID Table'!$E$10:$E$201)</f>
        <v>0000D5D4000000000123456789ABCDEF</v>
      </c>
      <c r="D57" s="13" t="str">
        <f>UUIDLOOKUP(G57,'UUID Table'!$C$10:$C$201,'UUID Table'!$E$10:$E$201)</f>
        <v>0000D5D4000000000123456789ABCDEF</v>
      </c>
      <c r="G57" s="68" t="s">
        <v>406</v>
      </c>
      <c r="H57" s="27" t="s">
        <v>22</v>
      </c>
      <c r="I57" s="27" t="s">
        <v>23</v>
      </c>
      <c r="J57" s="27" t="s">
        <v>23</v>
      </c>
      <c r="K57" s="27" t="s">
        <v>23</v>
      </c>
      <c r="L57" s="65" t="s">
        <v>415</v>
      </c>
      <c r="M57" s="68"/>
    </row>
    <row r="58" spans="1:13" x14ac:dyDescent="0.2">
      <c r="A58" s="40">
        <v>128</v>
      </c>
      <c r="B58" s="8" t="str">
        <f t="shared" si="3"/>
        <v>0080</v>
      </c>
      <c r="C58" s="8" t="str">
        <f>UUIDLOOKUP(E58,'UUID Table'!$C$10:$C$201,'UUID Table'!$D$10:$D$201)</f>
        <v>2800</v>
      </c>
      <c r="D58" s="8" t="str">
        <f>UUIDLOOKUP(E58,'UUID Table'!$C$10:$C$201,'UUID Table'!$E$10:$E$201)</f>
        <v>0000280000001000800000805F9B34FB</v>
      </c>
      <c r="E58" s="67" t="s">
        <v>376</v>
      </c>
      <c r="F58" s="8"/>
      <c r="G58" s="8"/>
      <c r="H58" s="8" t="s">
        <v>22</v>
      </c>
      <c r="I58" s="8" t="s">
        <v>23</v>
      </c>
      <c r="J58" s="8" t="s">
        <v>23</v>
      </c>
      <c r="K58" s="8" t="s">
        <v>23</v>
      </c>
      <c r="L58" s="10" t="str">
        <f>"{Service=0x"&amp;TEXT('UUID Table'!$D$145,"0000")&amp;" (""Service B.5"")}"</f>
        <v>{Service=0xA00B ("Service B.5")}</v>
      </c>
      <c r="M58" s="10"/>
    </row>
    <row r="59" spans="1:13" x14ac:dyDescent="0.2">
      <c r="A59" s="35">
        <f>A58+1</f>
        <v>129</v>
      </c>
      <c r="B59" s="5" t="str">
        <f t="shared" si="3"/>
        <v>0081</v>
      </c>
      <c r="C59" s="5" t="str">
        <f>UUIDLOOKUP(F59,'UUID Table'!$C$10:$C$201,'UUID Table'!$D$10:$D$201)</f>
        <v>2803</v>
      </c>
      <c r="D59" s="5" t="str">
        <f>UUIDLOOKUP(F59,'UUID Table'!$C$10:$C$201,'UUID Table'!$E$10:$E$201)</f>
        <v>0000280300001000800000805F9B34FB</v>
      </c>
      <c r="E59" s="6" t="s">
        <v>1</v>
      </c>
      <c r="F59" s="6" t="s">
        <v>32</v>
      </c>
      <c r="G59" s="6"/>
      <c r="H59" s="30" t="s">
        <v>22</v>
      </c>
      <c r="I59" s="30" t="s">
        <v>23</v>
      </c>
      <c r="J59" s="30" t="s">
        <v>23</v>
      </c>
      <c r="K59" s="30" t="s">
        <v>23</v>
      </c>
      <c r="L59" s="7" t="str">
        <f>"{properties=0x0A, handle=0x"&amp;TEXT(B60,"0000")&amp;", UUID=0x"&amp;TEXT(C60,"0000")&amp;"}"</f>
        <v>{properties=0x0A, handle=0x0082, UUID=0xB008}</v>
      </c>
      <c r="M59" s="7"/>
    </row>
    <row r="60" spans="1:13" x14ac:dyDescent="0.2">
      <c r="A60" s="26">
        <f>A59+1</f>
        <v>130</v>
      </c>
      <c r="B60" s="1" t="str">
        <f t="shared" si="3"/>
        <v>0082</v>
      </c>
      <c r="C60" s="13" t="str">
        <f>UUIDLOOKUP(G60,'UUID Table'!$C$10:$C$201,'UUID Table'!$D$10:$D$201)</f>
        <v>B008</v>
      </c>
      <c r="D60" s="13" t="str">
        <f>UUIDLOOKUP(G60,'UUID Table'!$C$10:$C$201,'UUID Table'!$E$10:$E$201)</f>
        <v>0000B00800001000800000805F9B34FB</v>
      </c>
      <c r="G60" s="42" t="s">
        <v>389</v>
      </c>
      <c r="H60" s="1" t="s">
        <v>22</v>
      </c>
      <c r="I60" s="71" t="s">
        <v>558</v>
      </c>
      <c r="J60" s="1" t="s">
        <v>23</v>
      </c>
      <c r="K60" s="1" t="s">
        <v>23</v>
      </c>
      <c r="L60" s="69" t="s">
        <v>419</v>
      </c>
    </row>
    <row r="61" spans="1:13" x14ac:dyDescent="0.2">
      <c r="A61" s="26">
        <f>A60+1</f>
        <v>131</v>
      </c>
      <c r="B61" s="1" t="str">
        <f t="shared" si="3"/>
        <v>0083</v>
      </c>
      <c r="C61" s="13" t="str">
        <f>UUIDLOOKUP(G61,'UUID Table'!$C$10:$C$201,'UUID Table'!$D$10:$D$201)</f>
        <v>B015</v>
      </c>
      <c r="D61" s="13"/>
      <c r="G61" s="65" t="s">
        <v>572</v>
      </c>
      <c r="H61" s="71" t="s">
        <v>24</v>
      </c>
      <c r="I61" s="71" t="s">
        <v>24</v>
      </c>
      <c r="J61" s="71" t="s">
        <v>23</v>
      </c>
      <c r="K61" s="71" t="s">
        <v>23</v>
      </c>
      <c r="L61" s="69" t="s">
        <v>407</v>
      </c>
    </row>
    <row r="62" spans="1:13" x14ac:dyDescent="0.2">
      <c r="A62" s="26">
        <f>A61+1</f>
        <v>132</v>
      </c>
      <c r="B62" s="1" t="str">
        <f>DEC2HEX(A62,4)</f>
        <v>0084</v>
      </c>
      <c r="C62" s="13" t="str">
        <f>UUIDLOOKUP(G62,'UUID Table'!$C$10:$C$201,'UUID Table'!$D$10:$D$201)</f>
        <v>B016</v>
      </c>
      <c r="D62" s="13"/>
      <c r="G62" s="65" t="s">
        <v>574</v>
      </c>
      <c r="H62" s="71" t="s">
        <v>556</v>
      </c>
      <c r="I62" s="71" t="s">
        <v>556</v>
      </c>
      <c r="J62" s="71" t="s">
        <v>23</v>
      </c>
      <c r="K62" s="71" t="s">
        <v>23</v>
      </c>
      <c r="L62" s="69" t="s">
        <v>578</v>
      </c>
    </row>
    <row r="63" spans="1:13" x14ac:dyDescent="0.2">
      <c r="A63" s="26">
        <f>A62+1</f>
        <v>133</v>
      </c>
      <c r="B63" s="1" t="str">
        <f>DEC2HEX(A63,4)</f>
        <v>0085</v>
      </c>
      <c r="C63" s="13" t="str">
        <f>UUIDLOOKUP(G63,'UUID Table'!$C$10:$C$201,'UUID Table'!$D$10:$D$201)</f>
        <v>B017</v>
      </c>
      <c r="D63" s="13"/>
      <c r="G63" s="65" t="s">
        <v>576</v>
      </c>
      <c r="H63" s="71" t="s">
        <v>558</v>
      </c>
      <c r="I63" s="71" t="s">
        <v>558</v>
      </c>
      <c r="J63" s="71" t="s">
        <v>23</v>
      </c>
      <c r="K63" s="71" t="s">
        <v>23</v>
      </c>
      <c r="L63" s="69" t="s">
        <v>410</v>
      </c>
    </row>
    <row r="64" spans="1:13" x14ac:dyDescent="0.2">
      <c r="A64" s="40">
        <v>144</v>
      </c>
      <c r="B64" s="8" t="str">
        <f t="shared" si="3"/>
        <v>0090</v>
      </c>
      <c r="C64" s="8" t="str">
        <f>UUIDLOOKUP(E64,'UUID Table'!$C$10:$C$201,'UUID Table'!$D$10:$D$201)</f>
        <v>2800</v>
      </c>
      <c r="D64" s="8" t="str">
        <f>UUIDLOOKUP(E64,'UUID Table'!$C$10:$C$201,'UUID Table'!$E$10:$E$201)</f>
        <v>0000280000001000800000805F9B34FB</v>
      </c>
      <c r="E64" s="67" t="s">
        <v>376</v>
      </c>
      <c r="F64" s="8"/>
      <c r="G64" s="8"/>
      <c r="H64" s="8" t="s">
        <v>22</v>
      </c>
      <c r="I64" s="8" t="s">
        <v>23</v>
      </c>
      <c r="J64" s="8" t="s">
        <v>23</v>
      </c>
      <c r="K64" s="8" t="s">
        <v>23</v>
      </c>
      <c r="L64" s="10" t="str">
        <f>"{Service=0x"&amp;TEXT('UUID Table'!$E$155,"0000")&amp;" (""Service C.1"")}"</f>
        <v>{Service=0x0000A00C000000000123456789ABCDEF ("Service C.1")}</v>
      </c>
      <c r="M64" s="10"/>
    </row>
    <row r="65" spans="1:13" x14ac:dyDescent="0.2">
      <c r="A65" s="104">
        <f>A64+1</f>
        <v>145</v>
      </c>
      <c r="B65" s="105" t="str">
        <f>DEC2HEX(A65,4)</f>
        <v>0091</v>
      </c>
      <c r="C65" s="105" t="str">
        <f>UUIDLOOKUP(G65,'UUID Table'!$C$10:$C$201,'UUID Table'!$D$10:$D$201)</f>
        <v>2802</v>
      </c>
      <c r="D65" s="105"/>
      <c r="E65" s="106"/>
      <c r="F65" s="105"/>
      <c r="G65" s="107" t="s">
        <v>348</v>
      </c>
      <c r="H65" s="108" t="s">
        <v>22</v>
      </c>
      <c r="I65" s="108" t="s">
        <v>23</v>
      </c>
      <c r="J65" s="108" t="s">
        <v>23</v>
      </c>
      <c r="K65" s="108" t="s">
        <v>23</v>
      </c>
      <c r="L65" s="109" t="str">
        <f>"{handle=0x"&amp;TEXT(B5,"0000")&amp;", end group handle=0x"&amp;TEXT(B10,"0000")&amp;", UUID=0x"&amp;TEXT('UUID Table'!$D$160,"0000")&amp;"}"</f>
        <v>{handle=0x0001, end group handle=0x0006, UUID=0xA00D}</v>
      </c>
      <c r="M65" s="103"/>
    </row>
    <row r="66" spans="1:13" x14ac:dyDescent="0.2">
      <c r="A66" s="35">
        <f>A65+1</f>
        <v>146</v>
      </c>
      <c r="B66" s="5" t="str">
        <f t="shared" si="3"/>
        <v>0092</v>
      </c>
      <c r="C66" s="5" t="str">
        <f>UUIDLOOKUP(F66,'UUID Table'!$C$10:$C$201,'UUID Table'!$D$10:$D$201)</f>
        <v>2803</v>
      </c>
      <c r="D66" s="5" t="str">
        <f>UUIDLOOKUP(F66,'UUID Table'!$C$10:$C$201,'UUID Table'!$E$10:$E$201)</f>
        <v>0000280300001000800000805F9B34FB</v>
      </c>
      <c r="E66" s="6" t="s">
        <v>1</v>
      </c>
      <c r="F66" s="6" t="s">
        <v>32</v>
      </c>
      <c r="G66" s="6"/>
      <c r="H66" s="30" t="s">
        <v>22</v>
      </c>
      <c r="I66" s="30" t="s">
        <v>23</v>
      </c>
      <c r="J66" s="30" t="s">
        <v>23</v>
      </c>
      <c r="K66" s="30" t="s">
        <v>23</v>
      </c>
      <c r="L66" s="7" t="str">
        <f>"{properties=0x8A, handle=0x"&amp;TEXT(B67,"0000")&amp;", UUID=0x"&amp;TEXT(C67,"0000")&amp;"}"</f>
        <v>{properties=0x8A, handle=0x0093, UUID=0x0000B009000000000123456789ABCDEF}</v>
      </c>
      <c r="M66" s="7"/>
    </row>
    <row r="67" spans="1:13" x14ac:dyDescent="0.2">
      <c r="A67" s="26">
        <f t="shared" ref="A67:A70" si="10">A66+1</f>
        <v>147</v>
      </c>
      <c r="B67" s="1" t="str">
        <f t="shared" si="3"/>
        <v>0093</v>
      </c>
      <c r="C67" s="13" t="str">
        <f>UUIDLOOKUP(G67,'UUID Table'!$C$10:$C$201,'UUID Table'!$E$10:$E$201)</f>
        <v>0000B009000000000123456789ABCDEF</v>
      </c>
      <c r="D67" s="13" t="str">
        <f>UUIDLOOKUP(G67,'UUID Table'!$C$10:$C$201,'UUID Table'!$E$10:$E$201)</f>
        <v>0000B009000000000123456789ABCDEF</v>
      </c>
      <c r="G67" s="42" t="s">
        <v>394</v>
      </c>
      <c r="H67" s="1" t="s">
        <v>22</v>
      </c>
      <c r="I67" s="71" t="s">
        <v>22</v>
      </c>
      <c r="J67" s="71" t="s">
        <v>23</v>
      </c>
      <c r="K67" s="1" t="s">
        <v>23</v>
      </c>
      <c r="L67" s="69" t="s">
        <v>421</v>
      </c>
    </row>
    <row r="68" spans="1:13" x14ac:dyDescent="0.2">
      <c r="A68" s="26">
        <f t="shared" si="10"/>
        <v>148</v>
      </c>
      <c r="B68" s="13" t="str">
        <f t="shared" si="3"/>
        <v>0094</v>
      </c>
      <c r="C68" s="13" t="str">
        <f>UUIDLOOKUP(G68,'UUID Table'!$C$10:$C$201,'UUID Table'!$D$10:$D$201)</f>
        <v>2900</v>
      </c>
      <c r="D68" s="13" t="str">
        <f>UUIDLOOKUP(G68,'UUID Table'!$C$10:$C$201,'UUID Table'!$E$10:$E$201)</f>
        <v>0000290000001000800000805F9B34FB</v>
      </c>
      <c r="G68" s="3" t="s">
        <v>349</v>
      </c>
      <c r="H68" s="27" t="s">
        <v>22</v>
      </c>
      <c r="I68" s="27" t="s">
        <v>23</v>
      </c>
      <c r="J68" s="27" t="s">
        <v>23</v>
      </c>
      <c r="K68" s="27" t="s">
        <v>23</v>
      </c>
      <c r="L68" s="65" t="s">
        <v>352</v>
      </c>
      <c r="M68" s="68" t="s">
        <v>422</v>
      </c>
    </row>
    <row r="69" spans="1:13" x14ac:dyDescent="0.2">
      <c r="A69" s="26">
        <f t="shared" si="10"/>
        <v>149</v>
      </c>
      <c r="B69" s="13" t="str">
        <f t="shared" si="3"/>
        <v>0095</v>
      </c>
      <c r="C69" s="13" t="str">
        <f>UUIDLOOKUP(G69,'UUID Table'!$C$10:$C$201,'UUID Table'!$E$10:$E$201)</f>
        <v>0000D9D2000000000123456789ABCDEF</v>
      </c>
      <c r="D69" s="13" t="str">
        <f>UUIDLOOKUP(G69,'UUID Table'!$C$10:$C$201,'UUID Table'!$E$10:$E$201)</f>
        <v>0000D9D2000000000123456789ABCDEF</v>
      </c>
      <c r="G69" s="68" t="s">
        <v>423</v>
      </c>
      <c r="H69" s="27" t="s">
        <v>22</v>
      </c>
      <c r="I69" s="73" t="s">
        <v>22</v>
      </c>
      <c r="J69" s="73" t="s">
        <v>23</v>
      </c>
      <c r="K69" s="27" t="s">
        <v>23</v>
      </c>
      <c r="L69" s="65" t="s">
        <v>424</v>
      </c>
      <c r="M69" s="68" t="s">
        <v>425</v>
      </c>
    </row>
    <row r="70" spans="1:13" x14ac:dyDescent="0.2">
      <c r="A70" s="26">
        <f t="shared" si="10"/>
        <v>150</v>
      </c>
      <c r="B70" s="13" t="str">
        <f>DEC2HEX(A70,4)</f>
        <v>0096</v>
      </c>
      <c r="C70" s="13" t="str">
        <f>UUIDLOOKUP(G70,'UUID Table'!$C$10:$C$201,'UUID Table'!$E$10:$E$201)</f>
        <v>0000D9D3000000000123456789ABCDEF</v>
      </c>
      <c r="D70" s="13" t="str">
        <f>UUIDLOOKUP(G70,'UUID Table'!$C$10:$C$201,'UUID Table'!$E$10:$E$201)</f>
        <v>0000D9D3000000000123456789ABCDEF</v>
      </c>
      <c r="G70" s="68" t="s">
        <v>445</v>
      </c>
      <c r="H70" s="73" t="s">
        <v>23</v>
      </c>
      <c r="I70" s="73" t="s">
        <v>22</v>
      </c>
      <c r="J70" s="73" t="s">
        <v>23</v>
      </c>
      <c r="K70" s="27" t="s">
        <v>23</v>
      </c>
      <c r="L70" s="65" t="s">
        <v>447</v>
      </c>
      <c r="M70" s="68" t="s">
        <v>448</v>
      </c>
    </row>
    <row r="71" spans="1:13" x14ac:dyDescent="0.2">
      <c r="A71" s="40">
        <v>160</v>
      </c>
      <c r="B71" s="8" t="str">
        <f>DEC2HEX(A71,4)</f>
        <v>00A0</v>
      </c>
      <c r="C71" s="8" t="str">
        <f>UUIDLOOKUP(E71,'UUID Table'!$C$10:$C$201,'UUID Table'!$D$10:$D$201)</f>
        <v>2800</v>
      </c>
      <c r="D71" s="8" t="str">
        <f>UUIDLOOKUP(E71,'UUID Table'!$C$10:$C$201,'UUID Table'!$E$10:$E$201)</f>
        <v>0000280000001000800000805F9B34FB</v>
      </c>
      <c r="E71" s="67" t="s">
        <v>376</v>
      </c>
      <c r="F71" s="8"/>
      <c r="G71" s="8"/>
      <c r="H71" s="8" t="s">
        <v>22</v>
      </c>
      <c r="I71" s="8" t="s">
        <v>23</v>
      </c>
      <c r="J71" s="8" t="s">
        <v>23</v>
      </c>
      <c r="K71" s="8" t="s">
        <v>23</v>
      </c>
      <c r="L71" s="10" t="str">
        <f>"{Service=0x"&amp;TEXT('UUID Table'!$D$165,"0000")&amp;" (""Service F"")}"</f>
        <v>{Service=0xA00F ("Service F")}</v>
      </c>
      <c r="M71" s="10"/>
    </row>
    <row r="72" spans="1:13" x14ac:dyDescent="0.2">
      <c r="A72" s="35">
        <f>A71+1</f>
        <v>161</v>
      </c>
      <c r="B72" s="5" t="str">
        <f>DEC2HEX(A72,4)</f>
        <v>00A1</v>
      </c>
      <c r="C72" s="5" t="str">
        <f>UUIDLOOKUP(F72,'UUID Table'!$C$10:$C$201,'UUID Table'!$D$10:$D$201)</f>
        <v>2803</v>
      </c>
      <c r="D72" s="5" t="str">
        <f>UUIDLOOKUP(F72,'UUID Table'!$C$10:$C$201,'UUID Table'!$E$10:$E$201)</f>
        <v>0000280300001000800000805F9B34FB</v>
      </c>
      <c r="E72" s="6" t="s">
        <v>1</v>
      </c>
      <c r="F72" s="6" t="s">
        <v>32</v>
      </c>
      <c r="G72" s="6"/>
      <c r="H72" s="30" t="s">
        <v>22</v>
      </c>
      <c r="I72" s="30" t="s">
        <v>23</v>
      </c>
      <c r="J72" s="30" t="s">
        <v>23</v>
      </c>
      <c r="K72" s="30" t="s">
        <v>23</v>
      </c>
      <c r="L72" s="7" t="str">
        <f>"{properties=0x02, handle=0x"&amp;TEXT(B73,"0000")&amp;", UUID=0x"&amp;TEXT(C73,"0000")&amp;"}"</f>
        <v>{properties=0x02, handle=0x00A2, UUID=0xB00E}</v>
      </c>
      <c r="M72" s="7"/>
    </row>
    <row r="73" spans="1:13" x14ac:dyDescent="0.2">
      <c r="A73" s="26">
        <f t="shared" ref="A73:A83" si="11">A72+1</f>
        <v>162</v>
      </c>
      <c r="B73" s="1" t="str">
        <f>DEC2HEX(A73,4)</f>
        <v>00A2</v>
      </c>
      <c r="C73" s="13" t="str">
        <f>UUIDLOOKUP(G73,'UUID Table'!$C$10:$C$201,'UUID Table'!$D$10:$D$201)</f>
        <v>B00E</v>
      </c>
      <c r="D73" s="13" t="str">
        <f>UUIDLOOKUP(G73,'UUID Table'!$C$10:$C$201,'UUID Table'!$E$10:$E$201)</f>
        <v>0000B00E00001000800000805F9B34FB</v>
      </c>
      <c r="G73" s="42" t="s">
        <v>537</v>
      </c>
      <c r="H73" s="1" t="s">
        <v>22</v>
      </c>
      <c r="I73" s="1" t="s">
        <v>23</v>
      </c>
      <c r="J73" s="1" t="s">
        <v>23</v>
      </c>
      <c r="K73" s="1" t="s">
        <v>23</v>
      </c>
      <c r="L73" s="69" t="s">
        <v>594</v>
      </c>
      <c r="M73" s="68" t="s">
        <v>546</v>
      </c>
    </row>
    <row r="74" spans="1:13" x14ac:dyDescent="0.2">
      <c r="A74" s="26">
        <f t="shared" si="11"/>
        <v>163</v>
      </c>
      <c r="B74" s="13" t="str">
        <f t="shared" ref="B74" si="12">DEC2HEX(A74,4)</f>
        <v>00A3</v>
      </c>
      <c r="C74" s="13" t="str">
        <f>UUIDLOOKUP(G74,'UUID Table'!$C$10:$C$201,'UUID Table'!$D$10:$D$201)</f>
        <v>2904</v>
      </c>
      <c r="D74" s="13" t="str">
        <f>UUIDLOOKUP(G74,'UUID Table'!$C$10:$C$201,'UUID Table'!$E$10:$E$201)</f>
        <v>0000290400001000800000805F9B34FB</v>
      </c>
      <c r="G74" s="3" t="s">
        <v>3</v>
      </c>
      <c r="H74" s="27" t="s">
        <v>22</v>
      </c>
      <c r="I74" s="27" t="s">
        <v>23</v>
      </c>
      <c r="J74" s="27" t="s">
        <v>23</v>
      </c>
      <c r="K74" s="27" t="s">
        <v>23</v>
      </c>
      <c r="L74" s="4" t="str">
        <f>"{format=0x19, exp=0x00, unit=0x3000, n_sp=0x01, descr=0x0000}"</f>
        <v>{format=0x19, exp=0x00, unit=0x3000, n_sp=0x01, descr=0x0000}</v>
      </c>
      <c r="M74" s="68" t="s">
        <v>547</v>
      </c>
    </row>
    <row r="75" spans="1:13" x14ac:dyDescent="0.2">
      <c r="A75" s="35">
        <f>A74+1</f>
        <v>164</v>
      </c>
      <c r="B75" s="5" t="str">
        <f>DEC2HEX(A75,4)</f>
        <v>00A4</v>
      </c>
      <c r="C75" s="5" t="str">
        <f>UUIDLOOKUP(F75,'UUID Table'!$C$10:$C$201,'UUID Table'!$D$10:$D$201)</f>
        <v>2803</v>
      </c>
      <c r="D75" s="5" t="str">
        <f>UUIDLOOKUP(F75,'UUID Table'!$C$10:$C$201,'UUID Table'!$E$10:$E$201)</f>
        <v>0000280300001000800000805F9B34FB</v>
      </c>
      <c r="E75" s="6" t="s">
        <v>1</v>
      </c>
      <c r="F75" s="6" t="s">
        <v>32</v>
      </c>
      <c r="G75" s="6"/>
      <c r="H75" s="30" t="s">
        <v>22</v>
      </c>
      <c r="I75" s="30" t="s">
        <v>23</v>
      </c>
      <c r="J75" s="30" t="s">
        <v>23</v>
      </c>
      <c r="K75" s="30" t="s">
        <v>23</v>
      </c>
      <c r="L75" s="7" t="str">
        <f>"{properties=0x0A, handle=0x"&amp;TEXT(B76,"0000")&amp;", UUID=0x"&amp;TEXT(C76,"0000")&amp;"}"</f>
        <v>{properties=0x0A, handle=0x00A5, UUID=0xB00F}</v>
      </c>
      <c r="M75" s="7"/>
    </row>
    <row r="76" spans="1:13" x14ac:dyDescent="0.2">
      <c r="A76" s="26">
        <f t="shared" si="11"/>
        <v>165</v>
      </c>
      <c r="B76" s="1" t="str">
        <f>DEC2HEX(A76,4)</f>
        <v>00A5</v>
      </c>
      <c r="C76" s="13" t="str">
        <f>UUIDLOOKUP(G76,'UUID Table'!$C$10:$C$201,'UUID Table'!$D$10:$D$201)</f>
        <v>B00F</v>
      </c>
      <c r="D76" s="13" t="str">
        <f>UUIDLOOKUP(G76,'UUID Table'!$C$10:$C$201,'UUID Table'!$E$10:$E$201)</f>
        <v>0000B00F00001000800000805F9B34FB</v>
      </c>
      <c r="G76" s="42" t="s">
        <v>538</v>
      </c>
      <c r="H76" s="1" t="s">
        <v>22</v>
      </c>
      <c r="I76" s="71" t="s">
        <v>22</v>
      </c>
      <c r="J76" s="71" t="s">
        <v>23</v>
      </c>
      <c r="K76" s="1" t="s">
        <v>23</v>
      </c>
      <c r="L76" s="65" t="s">
        <v>545</v>
      </c>
      <c r="M76" s="68" t="s">
        <v>544</v>
      </c>
    </row>
    <row r="77" spans="1:13" x14ac:dyDescent="0.2">
      <c r="A77" s="26">
        <f t="shared" si="11"/>
        <v>166</v>
      </c>
      <c r="B77" s="13" t="str">
        <f t="shared" ref="B77" si="13">DEC2HEX(A77,4)</f>
        <v>00A6</v>
      </c>
      <c r="C77" s="13" t="str">
        <f>UUIDLOOKUP(G77,'UUID Table'!$C$10:$C$201,'UUID Table'!$D$10:$D$201)</f>
        <v>2904</v>
      </c>
      <c r="D77" s="13" t="str">
        <f>UUIDLOOKUP(G77,'UUID Table'!$C$10:$C$201,'UUID Table'!$E$10:$E$201)</f>
        <v>0000290400001000800000805F9B34FB</v>
      </c>
      <c r="G77" s="3" t="s">
        <v>3</v>
      </c>
      <c r="H77" s="27" t="s">
        <v>22</v>
      </c>
      <c r="I77" s="27" t="s">
        <v>23</v>
      </c>
      <c r="J77" s="27" t="s">
        <v>23</v>
      </c>
      <c r="K77" s="27" t="s">
        <v>23</v>
      </c>
      <c r="L77" s="4" t="str">
        <f>"{format=0x04, exp=0x00, unit=0x2701, n_sp=0x01, descr=0x0001}"</f>
        <v>{format=0x04, exp=0x00, unit=0x2701, n_sp=0x01, descr=0x0001}</v>
      </c>
      <c r="M77" s="68" t="s">
        <v>607</v>
      </c>
    </row>
    <row r="78" spans="1:13" x14ac:dyDescent="0.2">
      <c r="A78" s="35">
        <f>A77+1</f>
        <v>167</v>
      </c>
      <c r="B78" s="5" t="str">
        <f>DEC2HEX(A78,4)</f>
        <v>00A7</v>
      </c>
      <c r="C78" s="5" t="str">
        <f>UUIDLOOKUP(F78,'UUID Table'!$C$10:$C$201,'UUID Table'!$D$10:$D$201)</f>
        <v>2803</v>
      </c>
      <c r="D78" s="5" t="str">
        <f>UUIDLOOKUP(F78,'UUID Table'!$C$10:$C$201,'UUID Table'!$E$10:$E$201)</f>
        <v>0000280300001000800000805F9B34FB</v>
      </c>
      <c r="E78" s="6" t="s">
        <v>1</v>
      </c>
      <c r="F78" s="6" t="s">
        <v>32</v>
      </c>
      <c r="G78" s="6"/>
      <c r="H78" s="30" t="s">
        <v>22</v>
      </c>
      <c r="I78" s="30" t="s">
        <v>23</v>
      </c>
      <c r="J78" s="30" t="s">
        <v>23</v>
      </c>
      <c r="K78" s="30" t="s">
        <v>23</v>
      </c>
      <c r="L78" s="7" t="str">
        <f>"{properties=0x0A, handle=0x"&amp;TEXT(B79,"0000")&amp;", UUID=0x"&amp;TEXT(C79,"0000")&amp;"}"</f>
        <v>{properties=0x0A, handle=0x00A8, UUID=0xB006}</v>
      </c>
      <c r="M78" s="7"/>
    </row>
    <row r="79" spans="1:13" x14ac:dyDescent="0.2">
      <c r="A79" s="26">
        <f t="shared" si="11"/>
        <v>168</v>
      </c>
      <c r="B79" s="1" t="str">
        <f>DEC2HEX(A79,4)</f>
        <v>00A8</v>
      </c>
      <c r="C79" s="13" t="str">
        <f>UUIDLOOKUP(G79,'UUID Table'!$C$10:$C$201,'UUID Table'!$D$10:$D$201)</f>
        <v>B006</v>
      </c>
      <c r="D79" s="13" t="str">
        <f>UUIDLOOKUP(G79,'UUID Table'!$C$10:$C$201,'UUID Table'!$E$10:$E$201)</f>
        <v>0000B00600001000800000805F9B34FB</v>
      </c>
      <c r="G79" s="42" t="s">
        <v>386</v>
      </c>
      <c r="H79" s="1" t="s">
        <v>22</v>
      </c>
      <c r="I79" s="71" t="s">
        <v>22</v>
      </c>
      <c r="J79" s="71" t="s">
        <v>23</v>
      </c>
      <c r="K79" s="1" t="s">
        <v>23</v>
      </c>
      <c r="L79" s="65" t="s">
        <v>602</v>
      </c>
      <c r="M79" s="68" t="s">
        <v>604</v>
      </c>
    </row>
    <row r="80" spans="1:13" x14ac:dyDescent="0.2">
      <c r="A80" s="26">
        <f t="shared" si="11"/>
        <v>169</v>
      </c>
      <c r="B80" s="13" t="str">
        <f t="shared" ref="B80" si="14">DEC2HEX(A80,4)</f>
        <v>00A9</v>
      </c>
      <c r="C80" s="13" t="str">
        <f>UUIDLOOKUP(G80,'UUID Table'!$C$10:$C$201,'UUID Table'!$D$10:$D$201)</f>
        <v>2904</v>
      </c>
      <c r="D80" s="13" t="str">
        <f>UUIDLOOKUP(G80,'UUID Table'!$C$10:$C$201,'UUID Table'!$E$10:$E$201)</f>
        <v>0000290400001000800000805F9B34FB</v>
      </c>
      <c r="G80" s="3" t="s">
        <v>3</v>
      </c>
      <c r="H80" s="27" t="s">
        <v>22</v>
      </c>
      <c r="I80" s="27" t="s">
        <v>23</v>
      </c>
      <c r="J80" s="27" t="s">
        <v>23</v>
      </c>
      <c r="K80" s="27" t="s">
        <v>23</v>
      </c>
      <c r="L80" s="4" t="str">
        <f>"{format=0x06, exp=0x00, unit=0x2710, n_sp=0x01, descr=0x0002}"</f>
        <v>{format=0x06, exp=0x00, unit=0x2710, n_sp=0x01, descr=0x0002}</v>
      </c>
      <c r="M80" s="68" t="s">
        <v>606</v>
      </c>
    </row>
    <row r="81" spans="1:13" x14ac:dyDescent="0.2">
      <c r="A81" s="35">
        <f>A80+1</f>
        <v>170</v>
      </c>
      <c r="B81" s="5" t="str">
        <f>DEC2HEX(A81,4)</f>
        <v>00AA</v>
      </c>
      <c r="C81" s="5" t="str">
        <f>UUIDLOOKUP(F81,'UUID Table'!$C$10:$C$201,'UUID Table'!$D$10:$D$201)</f>
        <v>2803</v>
      </c>
      <c r="D81" s="5" t="str">
        <f>UUIDLOOKUP(F81,'UUID Table'!$C$10:$C$201,'UUID Table'!$E$10:$E$201)</f>
        <v>0000280300001000800000805F9B34FB</v>
      </c>
      <c r="E81" s="6" t="s">
        <v>1</v>
      </c>
      <c r="F81" s="6" t="s">
        <v>32</v>
      </c>
      <c r="G81" s="6"/>
      <c r="H81" s="30" t="s">
        <v>22</v>
      </c>
      <c r="I81" s="30" t="s">
        <v>23</v>
      </c>
      <c r="J81" s="30" t="s">
        <v>23</v>
      </c>
      <c r="K81" s="30" t="s">
        <v>23</v>
      </c>
      <c r="L81" s="7" t="str">
        <f>"{properties=0x0A, handle=0x"&amp;TEXT(B82,"0000")&amp;", UUID=0x"&amp;TEXT(C82,"0000")&amp;"}"</f>
        <v>{properties=0x0A, handle=0x00AB, UUID=0xB007}</v>
      </c>
      <c r="M81" s="7"/>
    </row>
    <row r="82" spans="1:13" x14ac:dyDescent="0.2">
      <c r="A82" s="26">
        <f t="shared" si="11"/>
        <v>171</v>
      </c>
      <c r="B82" s="1" t="str">
        <f>DEC2HEX(A82,4)</f>
        <v>00AB</v>
      </c>
      <c r="C82" s="13" t="str">
        <f>UUIDLOOKUP(G82,'UUID Table'!$C$10:$C$201,'UUID Table'!$D$10:$D$201)</f>
        <v>B007</v>
      </c>
      <c r="D82" s="13" t="str">
        <f>UUIDLOOKUP(G82,'UUID Table'!$C$10:$C$201,'UUID Table'!$E$10:$E$201)</f>
        <v>0000B00700001000800000805F9B34FB</v>
      </c>
      <c r="G82" s="42" t="s">
        <v>387</v>
      </c>
      <c r="H82" s="1" t="s">
        <v>22</v>
      </c>
      <c r="I82" s="71" t="s">
        <v>22</v>
      </c>
      <c r="J82" s="71" t="s">
        <v>23</v>
      </c>
      <c r="K82" s="1" t="s">
        <v>23</v>
      </c>
      <c r="L82" s="65" t="s">
        <v>603</v>
      </c>
      <c r="M82" s="68" t="s">
        <v>605</v>
      </c>
    </row>
    <row r="83" spans="1:13" x14ac:dyDescent="0.2">
      <c r="A83" s="26">
        <f t="shared" si="11"/>
        <v>172</v>
      </c>
      <c r="B83" s="13" t="str">
        <f t="shared" ref="B83" si="15">DEC2HEX(A83,4)</f>
        <v>00AC</v>
      </c>
      <c r="C83" s="13" t="str">
        <f>UUIDLOOKUP(G83,'UUID Table'!$C$10:$C$201,'UUID Table'!$D$10:$D$201)</f>
        <v>2904</v>
      </c>
      <c r="D83" s="13" t="str">
        <f>UUIDLOOKUP(G83,'UUID Table'!$C$10:$C$201,'UUID Table'!$E$10:$E$201)</f>
        <v>0000290400001000800000805F9B34FB</v>
      </c>
      <c r="G83" s="3" t="s">
        <v>3</v>
      </c>
      <c r="H83" s="27" t="s">
        <v>22</v>
      </c>
      <c r="I83" s="27" t="s">
        <v>23</v>
      </c>
      <c r="J83" s="27" t="s">
        <v>23</v>
      </c>
      <c r="K83" s="27" t="s">
        <v>23</v>
      </c>
      <c r="L83" s="4" t="str">
        <f>"{format=0x08, exp=0x00, unit=0x2717, n_sp=0x01, descr=0x0003}"</f>
        <v>{format=0x08, exp=0x00, unit=0x2717, n_sp=0x01, descr=0x0003}</v>
      </c>
      <c r="M83" s="68" t="s">
        <v>608</v>
      </c>
    </row>
    <row r="84" spans="1:13" x14ac:dyDescent="0.2">
      <c r="A84" s="35">
        <f>A83+1</f>
        <v>173</v>
      </c>
      <c r="B84" s="5" t="str">
        <f>DEC2HEX(A84,4)</f>
        <v>00AD</v>
      </c>
      <c r="C84" s="5" t="str">
        <f>UUIDLOOKUP(F84,'UUID Table'!$C$10:$C$201,'UUID Table'!$D$10:$D$201)</f>
        <v>2803</v>
      </c>
      <c r="D84" s="5" t="str">
        <f>UUIDLOOKUP(F84,'UUID Table'!$C$10:$C$201,'UUID Table'!$E$10:$E$201)</f>
        <v>0000280300001000800000805F9B34FB</v>
      </c>
      <c r="E84" s="6" t="s">
        <v>1</v>
      </c>
      <c r="F84" s="6" t="s">
        <v>32</v>
      </c>
      <c r="G84" s="6"/>
      <c r="H84" s="30" t="s">
        <v>22</v>
      </c>
      <c r="I84" s="30" t="s">
        <v>23</v>
      </c>
      <c r="J84" s="30" t="s">
        <v>23</v>
      </c>
      <c r="K84" s="30" t="s">
        <v>23</v>
      </c>
      <c r="L84" s="7" t="str">
        <f>"{properties=0x02, handle=0x"&amp;TEXT(B85,"0000")&amp;", UUID=0x"&amp;TEXT(C85,"0000")&amp;"}"</f>
        <v>{properties=0x02, handle=0x00AE, UUID=0xB010}</v>
      </c>
      <c r="M84" s="7"/>
    </row>
    <row r="85" spans="1:13" x14ac:dyDescent="0.2">
      <c r="A85" s="26">
        <f>A84+1</f>
        <v>174</v>
      </c>
      <c r="B85" s="1" t="str">
        <f>DEC2HEX(A85,4)</f>
        <v>00AE</v>
      </c>
      <c r="C85" s="13" t="str">
        <f>UUIDLOOKUP(G85,'UUID Table'!$C$10:$C$201,'UUID Table'!$D$10:$D$201)</f>
        <v>B010</v>
      </c>
      <c r="D85" s="13" t="str">
        <f>UUIDLOOKUP(G85,'UUID Table'!$C$10:$C$201,'UUID Table'!$E$10:$E$201)</f>
        <v>0000B01000001000800000805F9B34FB</v>
      </c>
      <c r="G85" s="42" t="s">
        <v>539</v>
      </c>
      <c r="H85" s="71" t="s">
        <v>22</v>
      </c>
      <c r="I85" s="71" t="s">
        <v>23</v>
      </c>
      <c r="J85" s="71" t="s">
        <v>23</v>
      </c>
      <c r="K85" s="1" t="s">
        <v>23</v>
      </c>
      <c r="L85" s="69" t="str">
        <f>"{" &amp; L76 &amp; ", " &amp; L79 &amp; ", " &amp; L82 &amp; "}"</f>
        <v>{0x65, 0x1234, 0x01020304}</v>
      </c>
    </row>
    <row r="86" spans="1:13" x14ac:dyDescent="0.2">
      <c r="A86" s="26">
        <f>A85+1</f>
        <v>175</v>
      </c>
      <c r="B86" s="1" t="str">
        <f>DEC2HEX(A86,4)</f>
        <v>00AF</v>
      </c>
      <c r="C86" s="13" t="str">
        <f>UUIDLOOKUP(G86,'UUID Table'!$C$10:$C$201,'UUID Table'!$D$10:$D$201)</f>
        <v>2905</v>
      </c>
      <c r="D86" s="13" t="str">
        <f>UUIDLOOKUP(G86,'UUID Table'!$C$10:$C$201,'UUID Table'!$E$10:$E$201)</f>
        <v>0000290500001000800000805F9B34FB</v>
      </c>
      <c r="G86" s="65" t="s">
        <v>5</v>
      </c>
      <c r="H86" s="71" t="s">
        <v>22</v>
      </c>
      <c r="I86" s="71" t="s">
        <v>23</v>
      </c>
      <c r="J86" s="71" t="s">
        <v>23</v>
      </c>
      <c r="K86" s="1" t="s">
        <v>23</v>
      </c>
      <c r="L86" s="69" t="str">
        <f>"{" &amp; B77 &amp; ", " &amp; B80 &amp; ", " &amp; B83 &amp; "}"</f>
        <v>{00A6, 00A9, 00AC}</v>
      </c>
    </row>
    <row r="87" spans="1:13" x14ac:dyDescent="0.2">
      <c r="A87" s="35">
        <f>A86+1</f>
        <v>176</v>
      </c>
      <c r="B87" s="5" t="str">
        <f>DEC2HEX(A87,4)</f>
        <v>00B0</v>
      </c>
      <c r="C87" s="5" t="str">
        <f>UUIDLOOKUP(F87,'UUID Table'!$C$10:$C$201,'UUID Table'!$D$10:$D$201)</f>
        <v>2803</v>
      </c>
      <c r="D87" s="5" t="str">
        <f>UUIDLOOKUP(F87,'UUID Table'!$C$10:$C$201,'UUID Table'!$E$10:$E$201)</f>
        <v>0000280300001000800000805F9B34FB</v>
      </c>
      <c r="E87" s="6" t="s">
        <v>1</v>
      </c>
      <c r="F87" s="6" t="s">
        <v>32</v>
      </c>
      <c r="G87" s="6"/>
      <c r="H87" s="30" t="s">
        <v>22</v>
      </c>
      <c r="I87" s="30" t="s">
        <v>23</v>
      </c>
      <c r="J87" s="30" t="s">
        <v>23</v>
      </c>
      <c r="K87" s="30" t="s">
        <v>23</v>
      </c>
      <c r="L87" s="7" t="str">
        <f>"{properties=0x42, handle=0x"&amp;TEXT(B88,"0000")&amp;", UUID=0x"&amp;TEXT(C88,"0000")&amp;"}"</f>
        <v>{properties=0x42, handle=0x00B1, UUID=0xB011}</v>
      </c>
      <c r="M87" s="7"/>
    </row>
    <row r="88" spans="1:13" x14ac:dyDescent="0.2">
      <c r="A88" s="26">
        <f>A87+1</f>
        <v>177</v>
      </c>
      <c r="B88" s="1" t="str">
        <f>DEC2HEX(A88,4)</f>
        <v>00B1</v>
      </c>
      <c r="C88" s="13" t="str">
        <f>UUIDLOOKUP(G88,'UUID Table'!$C$10:$C$201,'UUID Table'!$D$10:$D$201)</f>
        <v>B011</v>
      </c>
      <c r="D88" s="13" t="str">
        <f>UUIDLOOKUP(G88,'UUID Table'!$C$10:$C$201,'UUID Table'!$E$10:$E$201)</f>
        <v>0000B01100001000800000805F9B34FB</v>
      </c>
      <c r="G88" s="42" t="s">
        <v>549</v>
      </c>
      <c r="H88" s="71" t="s">
        <v>22</v>
      </c>
      <c r="I88" s="71" t="s">
        <v>22</v>
      </c>
      <c r="J88" s="71" t="s">
        <v>23</v>
      </c>
      <c r="K88" s="1" t="s">
        <v>23</v>
      </c>
      <c r="L88" s="69" t="s">
        <v>551</v>
      </c>
    </row>
    <row r="89" spans="1:13" x14ac:dyDescent="0.2">
      <c r="A89" s="40">
        <v>192</v>
      </c>
      <c r="B89" s="8" t="str">
        <f t="shared" si="3"/>
        <v>00C0</v>
      </c>
      <c r="C89" s="8" t="str">
        <f>UUIDLOOKUP(E89,'UUID Table'!$C$10:$C$201,'UUID Table'!$D$10:$D$201)</f>
        <v>2800</v>
      </c>
      <c r="D89" s="8" t="str">
        <f>UUIDLOOKUP(E89,'UUID Table'!$C$10:$C$201,'UUID Table'!$E$10:$E$201)</f>
        <v>0000280000001000800000805F9B34FB</v>
      </c>
      <c r="E89" s="67" t="s">
        <v>376</v>
      </c>
      <c r="F89" s="8"/>
      <c r="G89" s="8"/>
      <c r="H89" s="8" t="s">
        <v>22</v>
      </c>
      <c r="I89" s="8" t="s">
        <v>23</v>
      </c>
      <c r="J89" s="8" t="s">
        <v>23</v>
      </c>
      <c r="K89" s="8" t="s">
        <v>23</v>
      </c>
      <c r="L89" s="10" t="str">
        <f>"{Service=0x"&amp;TEXT('UUID Table'!$E$155,"0000")&amp;" (""Service C.2"")}"</f>
        <v>{Service=0x0000A00C000000000123456789ABCDEF ("Service C.2")}</v>
      </c>
      <c r="M89" s="10"/>
    </row>
    <row r="90" spans="1:13" x14ac:dyDescent="0.2">
      <c r="A90" s="35">
        <f>A89+1</f>
        <v>193</v>
      </c>
      <c r="B90" s="5" t="str">
        <f t="shared" si="3"/>
        <v>00C1</v>
      </c>
      <c r="C90" s="5" t="str">
        <f>UUIDLOOKUP(F90,'UUID Table'!$C$10:$C$201,'UUID Table'!$D$10:$D$201)</f>
        <v>2803</v>
      </c>
      <c r="D90" s="5" t="str">
        <f>UUIDLOOKUP(F90,'UUID Table'!$C$10:$C$201,'UUID Table'!$E$10:$E$201)</f>
        <v>0000280300001000800000805F9B34FB</v>
      </c>
      <c r="E90" s="6" t="s">
        <v>1</v>
      </c>
      <c r="F90" s="6" t="s">
        <v>32</v>
      </c>
      <c r="G90" s="6"/>
      <c r="H90" s="30" t="s">
        <v>22</v>
      </c>
      <c r="I90" s="30" t="s">
        <v>23</v>
      </c>
      <c r="J90" s="30" t="s">
        <v>23</v>
      </c>
      <c r="K90" s="30" t="s">
        <v>23</v>
      </c>
      <c r="L90" s="7" t="str">
        <f>"{properties=0x02, handle=0x"&amp;TEXT(B91,"0000")&amp;", UUID=0x"&amp;TEXT(C91,"0000")&amp;"}"</f>
        <v>{properties=0x02, handle=0x00C2, UUID=0xB00A}</v>
      </c>
      <c r="M90" s="7"/>
    </row>
    <row r="91" spans="1:13" x14ac:dyDescent="0.2">
      <c r="A91" s="26">
        <f>A90+1</f>
        <v>194</v>
      </c>
      <c r="B91" s="1" t="str">
        <f t="shared" si="3"/>
        <v>00C2</v>
      </c>
      <c r="C91" s="13" t="str">
        <f>UUIDLOOKUP(G91,'UUID Table'!$C$10:$C$201,'UUID Table'!$D$10:$D$201)</f>
        <v>B00A</v>
      </c>
      <c r="D91" s="13" t="str">
        <f>UUIDLOOKUP(G91,'UUID Table'!$C$10:$C$201,'UUID Table'!$E$10:$E$201)</f>
        <v>0000B00A00001000800000805F9B34FB</v>
      </c>
      <c r="G91" s="42" t="s">
        <v>392</v>
      </c>
      <c r="H91" s="71" t="s">
        <v>22</v>
      </c>
      <c r="I91" s="1" t="s">
        <v>23</v>
      </c>
      <c r="J91" s="1" t="s">
        <v>23</v>
      </c>
      <c r="K91" s="1" t="s">
        <v>23</v>
      </c>
      <c r="L91" s="69" t="s">
        <v>428</v>
      </c>
    </row>
    <row r="92" spans="1:13" x14ac:dyDescent="0.2">
      <c r="A92" s="35">
        <f t="shared" ref="A92:A114" si="16">A91+1</f>
        <v>195</v>
      </c>
      <c r="B92" s="5" t="str">
        <f t="shared" si="3"/>
        <v>00C3</v>
      </c>
      <c r="C92" s="5" t="str">
        <f>UUIDLOOKUP(F92,'UUID Table'!$C$10:$C$201,'UUID Table'!$D$10:$D$201)</f>
        <v>2803</v>
      </c>
      <c r="D92" s="5" t="str">
        <f>UUIDLOOKUP(F92,'UUID Table'!$C$10:$C$201,'UUID Table'!$E$10:$E$201)</f>
        <v>0000280300001000800000805F9B34FB</v>
      </c>
      <c r="E92" s="6" t="s">
        <v>1</v>
      </c>
      <c r="F92" s="6" t="s">
        <v>32</v>
      </c>
      <c r="G92" s="6"/>
      <c r="H92" s="30" t="s">
        <v>22</v>
      </c>
      <c r="I92" s="30" t="s">
        <v>23</v>
      </c>
      <c r="J92" s="30" t="s">
        <v>23</v>
      </c>
      <c r="K92" s="30" t="s">
        <v>23</v>
      </c>
      <c r="L92" s="7" t="str">
        <f>"{properties=0x0A, handle=0x"&amp;TEXT(B93,"0000")&amp;", UUID=0x"&amp;TEXT(C93,"0000")&amp;"}"</f>
        <v>{properties=0x0A, handle=0x00C4, UUID=0xB002}</v>
      </c>
      <c r="M92" s="7"/>
    </row>
    <row r="93" spans="1:13" x14ac:dyDescent="0.2">
      <c r="A93" s="26">
        <f t="shared" si="16"/>
        <v>196</v>
      </c>
      <c r="B93" s="1" t="str">
        <f t="shared" si="3"/>
        <v>00C4</v>
      </c>
      <c r="C93" s="13" t="str">
        <f>UUIDLOOKUP(G93,'UUID Table'!$C$10:$C$201,'UUID Table'!$D$10:$D$201)</f>
        <v>B002</v>
      </c>
      <c r="D93" s="13" t="str">
        <f>UUIDLOOKUP(G93,'UUID Table'!$C$10:$C$201,'UUID Table'!$E$10:$E$201)</f>
        <v>0000B00200001000800000805F9B34FB</v>
      </c>
      <c r="G93" s="42" t="s">
        <v>382</v>
      </c>
      <c r="H93" s="71" t="s">
        <v>22</v>
      </c>
      <c r="I93" s="71" t="s">
        <v>22</v>
      </c>
      <c r="J93" s="71" t="s">
        <v>23</v>
      </c>
      <c r="K93" s="1" t="s">
        <v>23</v>
      </c>
      <c r="L93" s="69" t="s">
        <v>450</v>
      </c>
      <c r="M93" s="68" t="s">
        <v>455</v>
      </c>
    </row>
    <row r="94" spans="1:13" x14ac:dyDescent="0.2">
      <c r="A94" s="26">
        <f t="shared" si="16"/>
        <v>197</v>
      </c>
      <c r="B94" s="1" t="str">
        <f t="shared" si="3"/>
        <v>00C5</v>
      </c>
      <c r="C94" s="13" t="str">
        <f>UUIDLOOKUP(G94,'UUID Table'!$C$10:$C$201,'UUID Table'!$D$10:$D$201)</f>
        <v>B012</v>
      </c>
      <c r="D94" s="13"/>
      <c r="G94" s="65" t="s">
        <v>563</v>
      </c>
      <c r="H94" s="71" t="s">
        <v>22</v>
      </c>
      <c r="I94" s="71" t="s">
        <v>22</v>
      </c>
      <c r="J94" s="71" t="s">
        <v>23</v>
      </c>
      <c r="K94" s="71" t="s">
        <v>23</v>
      </c>
      <c r="L94" s="69" t="s">
        <v>586</v>
      </c>
      <c r="M94" s="68" t="s">
        <v>589</v>
      </c>
    </row>
    <row r="95" spans="1:13" x14ac:dyDescent="0.2">
      <c r="A95" s="35">
        <f>A94+1</f>
        <v>198</v>
      </c>
      <c r="B95" s="5" t="str">
        <f t="shared" si="3"/>
        <v>00C6</v>
      </c>
      <c r="C95" s="5" t="str">
        <f>UUIDLOOKUP(F95,'UUID Table'!$C$10:$C$201,'UUID Table'!$D$10:$D$201)</f>
        <v>2803</v>
      </c>
      <c r="D95" s="5" t="str">
        <f>UUIDLOOKUP(F95,'UUID Table'!$C$10:$C$201,'UUID Table'!$E$10:$E$201)</f>
        <v>0000280300001000800000805F9B34FB</v>
      </c>
      <c r="E95" s="6" t="s">
        <v>1</v>
      </c>
      <c r="F95" s="6" t="s">
        <v>32</v>
      </c>
      <c r="G95" s="6"/>
      <c r="H95" s="30" t="s">
        <v>22</v>
      </c>
      <c r="I95" s="30" t="s">
        <v>23</v>
      </c>
      <c r="J95" s="30" t="s">
        <v>23</v>
      </c>
      <c r="K95" s="30" t="s">
        <v>23</v>
      </c>
      <c r="L95" s="7" t="str">
        <f>"{properties=0x0A, handle=0x"&amp;TEXT(B96,"0000")&amp;", UUID=0x"&amp;TEXT(C96,"0000")&amp;"}"</f>
        <v>{properties=0x0A, handle=0x00C7, UUID=0xB002}</v>
      </c>
      <c r="M95" s="7"/>
    </row>
    <row r="96" spans="1:13" x14ac:dyDescent="0.2">
      <c r="A96" s="26">
        <f t="shared" si="16"/>
        <v>199</v>
      </c>
      <c r="B96" s="1" t="str">
        <f t="shared" si="3"/>
        <v>00C7</v>
      </c>
      <c r="C96" s="13" t="str">
        <f>UUIDLOOKUP(G96,'UUID Table'!$C$10:$C$201,'UUID Table'!$D$10:$D$201)</f>
        <v>B002</v>
      </c>
      <c r="D96" s="13" t="str">
        <f>UUIDLOOKUP(G96,'UUID Table'!$C$10:$C$201,'UUID Table'!$E$10:$E$201)</f>
        <v>0000B00200001000800000805F9B34FB</v>
      </c>
      <c r="G96" s="42" t="s">
        <v>382</v>
      </c>
      <c r="H96" s="71" t="s">
        <v>22</v>
      </c>
      <c r="I96" s="71" t="s">
        <v>22</v>
      </c>
      <c r="J96" s="71" t="s">
        <v>23</v>
      </c>
      <c r="K96" s="1" t="s">
        <v>23</v>
      </c>
      <c r="L96" s="69" t="s">
        <v>451</v>
      </c>
      <c r="M96" s="68" t="s">
        <v>460</v>
      </c>
    </row>
    <row r="97" spans="1:13" x14ac:dyDescent="0.2">
      <c r="A97" s="26">
        <f t="shared" si="16"/>
        <v>200</v>
      </c>
      <c r="B97" s="1" t="str">
        <f t="shared" ref="B97" si="17">DEC2HEX(A97,4)</f>
        <v>00C8</v>
      </c>
      <c r="C97" s="13" t="str">
        <f>UUIDLOOKUP(G97,'UUID Table'!$C$10:$C$201,'UUID Table'!$D$10:$D$201)</f>
        <v>B013</v>
      </c>
      <c r="D97" s="13"/>
      <c r="G97" s="65" t="s">
        <v>564</v>
      </c>
      <c r="H97" s="71" t="s">
        <v>22</v>
      </c>
      <c r="I97" s="71" t="s">
        <v>22</v>
      </c>
      <c r="J97" s="71" t="s">
        <v>23</v>
      </c>
      <c r="K97" s="71" t="s">
        <v>23</v>
      </c>
      <c r="L97" s="69" t="s">
        <v>585</v>
      </c>
      <c r="M97" s="68" t="s">
        <v>588</v>
      </c>
    </row>
    <row r="98" spans="1:13" x14ac:dyDescent="0.2">
      <c r="A98" s="35">
        <f>A97+1</f>
        <v>201</v>
      </c>
      <c r="B98" s="5" t="str">
        <f t="shared" si="3"/>
        <v>00C9</v>
      </c>
      <c r="C98" s="5" t="str">
        <f>UUIDLOOKUP(F98,'UUID Table'!$C$10:$C$201,'UUID Table'!$D$10:$D$201)</f>
        <v>2803</v>
      </c>
      <c r="D98" s="5" t="str">
        <f>UUIDLOOKUP(F98,'UUID Table'!$C$10:$C$201,'UUID Table'!$E$10:$E$201)</f>
        <v>0000280300001000800000805F9B34FB</v>
      </c>
      <c r="E98" s="6" t="s">
        <v>1</v>
      </c>
      <c r="F98" s="6" t="s">
        <v>32</v>
      </c>
      <c r="G98" s="6"/>
      <c r="H98" s="30" t="s">
        <v>22</v>
      </c>
      <c r="I98" s="30" t="s">
        <v>23</v>
      </c>
      <c r="J98" s="30" t="s">
        <v>23</v>
      </c>
      <c r="K98" s="30" t="s">
        <v>23</v>
      </c>
      <c r="L98" s="7" t="str">
        <f>"{properties=0x0A, handle=0x"&amp;TEXT(B99,"0000")&amp;", UUID=0x"&amp;TEXT(C99,"0000")&amp;"}"</f>
        <v>{properties=0x0A, handle=0x00CA, UUID=0xB002}</v>
      </c>
      <c r="M98" s="7"/>
    </row>
    <row r="99" spans="1:13" x14ac:dyDescent="0.2">
      <c r="A99" s="26">
        <f t="shared" si="16"/>
        <v>202</v>
      </c>
      <c r="B99" s="1" t="str">
        <f t="shared" si="3"/>
        <v>00CA</v>
      </c>
      <c r="C99" s="13" t="str">
        <f>UUIDLOOKUP(G99,'UUID Table'!$C$10:$C$201,'UUID Table'!$D$10:$D$201)</f>
        <v>B002</v>
      </c>
      <c r="D99" s="13" t="str">
        <f>UUIDLOOKUP(G99,'UUID Table'!$C$10:$C$201,'UUID Table'!$E$10:$E$201)</f>
        <v>0000B00200001000800000805F9B34FB</v>
      </c>
      <c r="G99" s="42" t="s">
        <v>382</v>
      </c>
      <c r="H99" s="71" t="s">
        <v>22</v>
      </c>
      <c r="I99" s="71" t="s">
        <v>22</v>
      </c>
      <c r="J99" s="71" t="s">
        <v>23</v>
      </c>
      <c r="K99" s="1" t="s">
        <v>23</v>
      </c>
      <c r="L99" s="69" t="s">
        <v>452</v>
      </c>
      <c r="M99" s="68" t="s">
        <v>459</v>
      </c>
    </row>
    <row r="100" spans="1:13" x14ac:dyDescent="0.2">
      <c r="A100" s="26">
        <f t="shared" ref="A100:A113" si="18">A99+1</f>
        <v>203</v>
      </c>
      <c r="B100" s="1" t="str">
        <f t="shared" si="3"/>
        <v>00CB</v>
      </c>
      <c r="C100" s="13" t="str">
        <f>UUIDLOOKUP(G100,'UUID Table'!$C$10:$C$201,'UUID Table'!$D$10:$D$201)</f>
        <v>B014</v>
      </c>
      <c r="D100" s="13"/>
      <c r="G100" s="65" t="s">
        <v>565</v>
      </c>
      <c r="H100" s="71" t="s">
        <v>22</v>
      </c>
      <c r="I100" s="71" t="s">
        <v>22</v>
      </c>
      <c r="J100" s="71" t="s">
        <v>23</v>
      </c>
      <c r="K100" s="71" t="s">
        <v>23</v>
      </c>
      <c r="L100" s="69" t="s">
        <v>579</v>
      </c>
      <c r="M100" s="68" t="s">
        <v>587</v>
      </c>
    </row>
    <row r="101" spans="1:13" s="114" customFormat="1" x14ac:dyDescent="0.2">
      <c r="A101" s="112">
        <f t="shared" si="18"/>
        <v>204</v>
      </c>
      <c r="B101" s="113" t="str">
        <f t="shared" si="3"/>
        <v>00CC</v>
      </c>
      <c r="C101" s="113" t="str">
        <f>UUIDLOOKUP(F101,'UUID Table'!$C$10:$C$201,'UUID Table'!$D$10:$D$201)</f>
        <v>2803</v>
      </c>
      <c r="D101" s="113"/>
      <c r="E101" s="115" t="s">
        <v>1</v>
      </c>
      <c r="F101" s="115" t="s">
        <v>32</v>
      </c>
      <c r="G101" s="116"/>
      <c r="H101" s="117" t="s">
        <v>22</v>
      </c>
      <c r="I101" s="117" t="s">
        <v>23</v>
      </c>
      <c r="J101" s="117" t="s">
        <v>23</v>
      </c>
      <c r="K101" s="117" t="s">
        <v>23</v>
      </c>
      <c r="L101" s="118" t="str">
        <f>"{properties=0x0A, handle=0x"&amp;TEXT(B102,"0000")&amp;", UUID=0x"&amp;TEXT(C102,"0000")&amp;"}"</f>
        <v>{properties=0x0A, handle=0x00CD, UUID=0xB002}</v>
      </c>
      <c r="M101" s="115"/>
    </row>
    <row r="102" spans="1:13" x14ac:dyDescent="0.2">
      <c r="A102" s="26">
        <f t="shared" si="18"/>
        <v>205</v>
      </c>
      <c r="B102" s="1" t="str">
        <f t="shared" si="3"/>
        <v>00CD</v>
      </c>
      <c r="C102" s="13" t="str">
        <f>UUIDLOOKUP(G102,'UUID Table'!$C$10:$C$201,'UUID Table'!$D$10:$D$201)</f>
        <v>B002</v>
      </c>
      <c r="D102" s="13"/>
      <c r="F102" s="68"/>
      <c r="G102" s="42" t="s">
        <v>382</v>
      </c>
      <c r="H102" s="71" t="s">
        <v>22</v>
      </c>
      <c r="I102" s="71" t="s">
        <v>22</v>
      </c>
      <c r="J102" s="71" t="s">
        <v>23</v>
      </c>
      <c r="K102" s="71" t="s">
        <v>23</v>
      </c>
      <c r="L102" s="69" t="s">
        <v>566</v>
      </c>
      <c r="M102" s="68" t="s">
        <v>458</v>
      </c>
    </row>
    <row r="103" spans="1:13" x14ac:dyDescent="0.2">
      <c r="A103" s="26">
        <f>A102+1</f>
        <v>206</v>
      </c>
      <c r="B103" s="1" t="str">
        <f t="shared" si="3"/>
        <v>00CE</v>
      </c>
      <c r="C103" s="13" t="str">
        <f>UUIDLOOKUP(G103,'UUID Table'!$C$10:$C$201,'UUID Table'!$D$10:$D$201)</f>
        <v>B012</v>
      </c>
      <c r="D103" s="13"/>
      <c r="G103" s="65" t="s">
        <v>563</v>
      </c>
      <c r="H103" s="71" t="s">
        <v>22</v>
      </c>
      <c r="I103" s="71" t="s">
        <v>22</v>
      </c>
      <c r="J103" s="71" t="s">
        <v>23</v>
      </c>
      <c r="K103" s="71" t="s">
        <v>23</v>
      </c>
      <c r="L103" s="69" t="s">
        <v>566</v>
      </c>
      <c r="M103" s="68" t="s">
        <v>571</v>
      </c>
    </row>
    <row r="104" spans="1:13" s="114" customFormat="1" x14ac:dyDescent="0.2">
      <c r="A104" s="112">
        <f>A103+1</f>
        <v>207</v>
      </c>
      <c r="B104" s="113" t="str">
        <f t="shared" ref="B104:B106" si="19">DEC2HEX(A104,4)</f>
        <v>00CF</v>
      </c>
      <c r="C104" s="113" t="str">
        <f>UUIDLOOKUP(F104,'UUID Table'!$C$10:$C$201,'UUID Table'!$D$10:$D$201)</f>
        <v>2803</v>
      </c>
      <c r="D104" s="113"/>
      <c r="E104" s="115" t="s">
        <v>1</v>
      </c>
      <c r="F104" s="115" t="s">
        <v>32</v>
      </c>
      <c r="G104" s="116"/>
      <c r="H104" s="117" t="s">
        <v>22</v>
      </c>
      <c r="I104" s="117" t="s">
        <v>23</v>
      </c>
      <c r="J104" s="117" t="s">
        <v>23</v>
      </c>
      <c r="K104" s="117" t="s">
        <v>23</v>
      </c>
      <c r="L104" s="118" t="str">
        <f>"{properties=0x0A, handle=0x"&amp;TEXT(B105,"0000")&amp;", UUID=0x"&amp;TEXT(C105,"0000")&amp;"}"</f>
        <v>{properties=0x0A, handle=0x00D0, UUID=0xB002}</v>
      </c>
      <c r="M104" s="115"/>
    </row>
    <row r="105" spans="1:13" x14ac:dyDescent="0.2">
      <c r="A105" s="26">
        <f t="shared" si="18"/>
        <v>208</v>
      </c>
      <c r="B105" s="1" t="str">
        <f t="shared" si="19"/>
        <v>00D0</v>
      </c>
      <c r="C105" s="13" t="str">
        <f>UUIDLOOKUP(G105,'UUID Table'!$C$10:$C$201,'UUID Table'!$D$10:$D$201)</f>
        <v>B002</v>
      </c>
      <c r="D105" s="13"/>
      <c r="F105" s="68"/>
      <c r="G105" s="42" t="s">
        <v>382</v>
      </c>
      <c r="H105" s="71" t="s">
        <v>22</v>
      </c>
      <c r="I105" s="71" t="s">
        <v>22</v>
      </c>
      <c r="J105" s="71" t="s">
        <v>23</v>
      </c>
      <c r="K105" s="71" t="s">
        <v>23</v>
      </c>
      <c r="L105" s="69" t="s">
        <v>567</v>
      </c>
      <c r="M105" s="68" t="s">
        <v>583</v>
      </c>
    </row>
    <row r="106" spans="1:13" x14ac:dyDescent="0.2">
      <c r="A106" s="26">
        <f>A105+1</f>
        <v>209</v>
      </c>
      <c r="B106" s="1" t="str">
        <f t="shared" si="19"/>
        <v>00D1</v>
      </c>
      <c r="C106" s="13" t="str">
        <f>UUIDLOOKUP(G106,'UUID Table'!$C$10:$C$201,'UUID Table'!$D$10:$D$201)</f>
        <v>B013</v>
      </c>
      <c r="D106" s="13"/>
      <c r="G106" s="65" t="s">
        <v>564</v>
      </c>
      <c r="H106" s="71" t="s">
        <v>22</v>
      </c>
      <c r="I106" s="71" t="s">
        <v>22</v>
      </c>
      <c r="J106" s="71" t="s">
        <v>23</v>
      </c>
      <c r="K106" s="71" t="s">
        <v>23</v>
      </c>
      <c r="L106" s="69" t="s">
        <v>567</v>
      </c>
      <c r="M106" s="68" t="s">
        <v>568</v>
      </c>
    </row>
    <row r="107" spans="1:13" s="114" customFormat="1" x14ac:dyDescent="0.2">
      <c r="A107" s="112">
        <f>A106+1</f>
        <v>210</v>
      </c>
      <c r="B107" s="113" t="str">
        <f t="shared" ref="B107:B109" si="20">DEC2HEX(A107,4)</f>
        <v>00D2</v>
      </c>
      <c r="C107" s="113" t="str">
        <f>UUIDLOOKUP(F107,'UUID Table'!$C$10:$C$201,'UUID Table'!$D$10:$D$201)</f>
        <v>2803</v>
      </c>
      <c r="D107" s="113"/>
      <c r="E107" s="115" t="s">
        <v>1</v>
      </c>
      <c r="F107" s="115" t="s">
        <v>32</v>
      </c>
      <c r="G107" s="116"/>
      <c r="H107" s="117" t="s">
        <v>22</v>
      </c>
      <c r="I107" s="117" t="s">
        <v>23</v>
      </c>
      <c r="J107" s="117" t="s">
        <v>23</v>
      </c>
      <c r="K107" s="117" t="s">
        <v>23</v>
      </c>
      <c r="L107" s="118" t="str">
        <f>"{properties=0x0A, handle=0x"&amp;TEXT(B108,"0000")&amp;", UUID=0x"&amp;TEXT(C108,"0000")&amp;"}"</f>
        <v>{properties=0x0A, handle=0x00D3, UUID=0xB002}</v>
      </c>
      <c r="M107" s="115"/>
    </row>
    <row r="108" spans="1:13" x14ac:dyDescent="0.2">
      <c r="A108" s="26">
        <f t="shared" si="18"/>
        <v>211</v>
      </c>
      <c r="B108" s="1" t="str">
        <f t="shared" si="20"/>
        <v>00D3</v>
      </c>
      <c r="C108" s="13" t="str">
        <f>UUIDLOOKUP(G108,'UUID Table'!$C$10:$C$201,'UUID Table'!$D$10:$D$201)</f>
        <v>B002</v>
      </c>
      <c r="D108" s="13"/>
      <c r="F108" s="68"/>
      <c r="G108" s="42" t="s">
        <v>382</v>
      </c>
      <c r="H108" s="71" t="s">
        <v>22</v>
      </c>
      <c r="I108" s="71" t="s">
        <v>22</v>
      </c>
      <c r="J108" s="71" t="s">
        <v>23</v>
      </c>
      <c r="K108" s="71" t="s">
        <v>23</v>
      </c>
      <c r="L108" s="69" t="s">
        <v>569</v>
      </c>
      <c r="M108" s="68" t="s">
        <v>584</v>
      </c>
    </row>
    <row r="109" spans="1:13" x14ac:dyDescent="0.2">
      <c r="A109" s="26">
        <f>A108+1</f>
        <v>212</v>
      </c>
      <c r="B109" s="1" t="str">
        <f t="shared" si="20"/>
        <v>00D4</v>
      </c>
      <c r="C109" s="13" t="str">
        <f>UUIDLOOKUP(G109,'UUID Table'!$C$10:$C$201,'UUID Table'!$D$10:$D$201)</f>
        <v>B014</v>
      </c>
      <c r="D109" s="13"/>
      <c r="G109" s="65" t="s">
        <v>565</v>
      </c>
      <c r="H109" s="71" t="s">
        <v>22</v>
      </c>
      <c r="I109" s="71" t="s">
        <v>22</v>
      </c>
      <c r="J109" s="71" t="s">
        <v>23</v>
      </c>
      <c r="K109" s="71" t="s">
        <v>23</v>
      </c>
      <c r="L109" s="69" t="s">
        <v>569</v>
      </c>
      <c r="M109" s="68" t="s">
        <v>570</v>
      </c>
    </row>
    <row r="110" spans="1:13" x14ac:dyDescent="0.2">
      <c r="A110" s="35">
        <f>A109+1</f>
        <v>213</v>
      </c>
      <c r="B110" s="5" t="str">
        <f t="shared" si="3"/>
        <v>00D5</v>
      </c>
      <c r="C110" s="5" t="str">
        <f>UUIDLOOKUP(F110,'UUID Table'!$C$10:$C$201,'UUID Table'!$D$10:$D$201)</f>
        <v>2803</v>
      </c>
      <c r="D110" s="5" t="str">
        <f>UUIDLOOKUP(F110,'UUID Table'!$C$10:$C$201,'UUID Table'!$E$10:$E$201)</f>
        <v>0000280300001000800000805F9B34FB</v>
      </c>
      <c r="E110" s="111" t="s">
        <v>1</v>
      </c>
      <c r="F110" s="111" t="s">
        <v>32</v>
      </c>
      <c r="G110" s="6"/>
      <c r="H110" s="30" t="s">
        <v>22</v>
      </c>
      <c r="I110" s="30" t="s">
        <v>23</v>
      </c>
      <c r="J110" s="30" t="s">
        <v>23</v>
      </c>
      <c r="K110" s="30" t="s">
        <v>23</v>
      </c>
      <c r="L110" s="7" t="str">
        <f>"{properties=0x0A, handle=0x"&amp;TEXT(B111,"0000")&amp;", UUID=0x"&amp;TEXT(C111,"0000")&amp;"}"</f>
        <v>{properties=0x0A, handle=0x00D6, UUID=0xB002}</v>
      </c>
      <c r="M110" s="7"/>
    </row>
    <row r="111" spans="1:13" x14ac:dyDescent="0.2">
      <c r="A111" s="26">
        <f t="shared" si="18"/>
        <v>214</v>
      </c>
      <c r="B111" s="1" t="str">
        <f t="shared" si="3"/>
        <v>00D6</v>
      </c>
      <c r="C111" s="13" t="str">
        <f>UUIDLOOKUP(G111,'UUID Table'!$C$10:$C$201,'UUID Table'!$D$10:$D$201)</f>
        <v>B002</v>
      </c>
      <c r="D111" s="13" t="str">
        <f>UUIDLOOKUP(G111,'UUID Table'!$C$10:$C$201,'UUID Table'!$E$10:$E$201)</f>
        <v>0000B00200001000800000805F9B34FB</v>
      </c>
      <c r="G111" s="42" t="s">
        <v>382</v>
      </c>
      <c r="H111" s="71" t="s">
        <v>24</v>
      </c>
      <c r="I111" s="71" t="s">
        <v>24</v>
      </c>
      <c r="J111" s="71" t="s">
        <v>23</v>
      </c>
      <c r="K111" s="1" t="s">
        <v>23</v>
      </c>
      <c r="L111" s="69" t="s">
        <v>453</v>
      </c>
      <c r="M111" s="68" t="s">
        <v>458</v>
      </c>
    </row>
    <row r="112" spans="1:13" ht="15.6" customHeight="1" x14ac:dyDescent="0.2">
      <c r="A112" s="26">
        <f t="shared" si="18"/>
        <v>215</v>
      </c>
      <c r="B112" s="1" t="str">
        <f t="shared" si="3"/>
        <v>00D7</v>
      </c>
      <c r="C112" s="13" t="str">
        <f>UUIDLOOKUP(G112,'UUID Table'!$C$10:$C$201,'UUID Table'!$D$10:$D$201)</f>
        <v>B012</v>
      </c>
      <c r="D112" s="13"/>
      <c r="G112" s="65" t="s">
        <v>563</v>
      </c>
      <c r="H112" s="71" t="s">
        <v>24</v>
      </c>
      <c r="I112" s="71" t="s">
        <v>24</v>
      </c>
      <c r="J112" s="71" t="s">
        <v>23</v>
      </c>
      <c r="K112" s="71" t="s">
        <v>23</v>
      </c>
      <c r="L112" s="69" t="s">
        <v>566</v>
      </c>
      <c r="M112" s="68" t="s">
        <v>571</v>
      </c>
    </row>
    <row r="113" spans="1:13" x14ac:dyDescent="0.2">
      <c r="A113" s="35">
        <f t="shared" si="18"/>
        <v>216</v>
      </c>
      <c r="B113" s="5" t="str">
        <f t="shared" si="3"/>
        <v>00D8</v>
      </c>
      <c r="C113" s="5" t="str">
        <f>UUIDLOOKUP(F113,'UUID Table'!$C$10:$C$201,'UUID Table'!$D$10:$D$201)</f>
        <v>2803</v>
      </c>
      <c r="D113" s="5" t="str">
        <f>UUIDLOOKUP(F113,'UUID Table'!$C$10:$C$201,'UUID Table'!$E$10:$E$201)</f>
        <v>0000280300001000800000805F9B34FB</v>
      </c>
      <c r="E113" s="6" t="s">
        <v>1</v>
      </c>
      <c r="F113" s="111" t="s">
        <v>32</v>
      </c>
      <c r="G113" s="6"/>
      <c r="H113" s="30" t="s">
        <v>22</v>
      </c>
      <c r="I113" s="30" t="s">
        <v>23</v>
      </c>
      <c r="J113" s="30" t="s">
        <v>23</v>
      </c>
      <c r="K113" s="30" t="s">
        <v>23</v>
      </c>
      <c r="L113" s="7" t="str">
        <f>"{properties=0x0A, handle=0x"&amp;TEXT(B114,"0000")&amp;", UUID=0x"&amp;TEXT(C114,"0000")&amp;"}"</f>
        <v>{properties=0x0A, handle=0x00D9, UUID=0xB002}</v>
      </c>
      <c r="M113" s="7"/>
    </row>
    <row r="114" spans="1:13" x14ac:dyDescent="0.2">
      <c r="A114" s="26">
        <f t="shared" si="16"/>
        <v>217</v>
      </c>
      <c r="B114" s="1" t="str">
        <f t="shared" si="3"/>
        <v>00D9</v>
      </c>
      <c r="C114" s="13" t="str">
        <f>UUIDLOOKUP(G114,'UUID Table'!$C$10:$C$201,'UUID Table'!$D$10:$D$201)</f>
        <v>B002</v>
      </c>
      <c r="D114" s="13" t="str">
        <f>UUIDLOOKUP(G114,'UUID Table'!$C$10:$C$201,'UUID Table'!$E$10:$E$201)</f>
        <v>0000B00200001000800000805F9B34FB</v>
      </c>
      <c r="G114" s="42" t="s">
        <v>382</v>
      </c>
      <c r="H114" s="71" t="s">
        <v>556</v>
      </c>
      <c r="I114" s="71" t="s">
        <v>556</v>
      </c>
      <c r="J114" s="71" t="s">
        <v>23</v>
      </c>
      <c r="K114" s="1" t="s">
        <v>23</v>
      </c>
      <c r="L114" s="69" t="s">
        <v>454</v>
      </c>
      <c r="M114" s="68" t="s">
        <v>457</v>
      </c>
    </row>
    <row r="115" spans="1:13" x14ac:dyDescent="0.2">
      <c r="A115" s="26">
        <f>A114+1</f>
        <v>218</v>
      </c>
      <c r="B115" s="1" t="str">
        <f t="shared" si="3"/>
        <v>00DA</v>
      </c>
      <c r="C115" s="13" t="str">
        <f>UUIDLOOKUP(G115,'UUID Table'!$C$10:$C$201,'UUID Table'!$D$10:$D$201)</f>
        <v>B013</v>
      </c>
      <c r="D115" s="13"/>
      <c r="G115" s="65" t="s">
        <v>564</v>
      </c>
      <c r="H115" s="71" t="s">
        <v>556</v>
      </c>
      <c r="I115" s="71" t="s">
        <v>556</v>
      </c>
      <c r="J115" s="71" t="s">
        <v>23</v>
      </c>
      <c r="K115" s="71" t="s">
        <v>23</v>
      </c>
      <c r="L115" s="69" t="s">
        <v>567</v>
      </c>
      <c r="M115" s="68" t="s">
        <v>568</v>
      </c>
    </row>
    <row r="116" spans="1:13" x14ac:dyDescent="0.2">
      <c r="A116" s="35">
        <f>A115+1</f>
        <v>219</v>
      </c>
      <c r="B116" s="5" t="str">
        <f t="shared" si="3"/>
        <v>00DB</v>
      </c>
      <c r="C116" s="5" t="str">
        <f>UUIDLOOKUP(F116,'UUID Table'!$C$10:$C$201,'UUID Table'!$D$10:$D$201)</f>
        <v>2803</v>
      </c>
      <c r="D116" s="5" t="str">
        <f>UUIDLOOKUP(F116,'UUID Table'!$C$10:$C$201,'UUID Table'!$E$10:$E$201)</f>
        <v>0000280300001000800000805F9B34FB</v>
      </c>
      <c r="E116" s="6" t="s">
        <v>1</v>
      </c>
      <c r="F116" s="6" t="s">
        <v>32</v>
      </c>
      <c r="G116" s="6"/>
      <c r="H116" s="30" t="s">
        <v>22</v>
      </c>
      <c r="I116" s="30" t="s">
        <v>23</v>
      </c>
      <c r="J116" s="30" t="s">
        <v>23</v>
      </c>
      <c r="K116" s="30" t="s">
        <v>23</v>
      </c>
      <c r="L116" s="7" t="str">
        <f>"{properties=0x0A, handle=0x"&amp;TEXT(B117,"0000")&amp;", UUID=0x"&amp;TEXT(C117,"0000")&amp;"}"</f>
        <v>{properties=0x0A, handle=0x00DC, UUID=0xB002}</v>
      </c>
      <c r="M116" s="7"/>
    </row>
    <row r="117" spans="1:13" x14ac:dyDescent="0.2">
      <c r="A117" s="26">
        <f>A116+1</f>
        <v>220</v>
      </c>
      <c r="B117" s="1" t="str">
        <f>DEC2HEX(A117,4)</f>
        <v>00DC</v>
      </c>
      <c r="C117" s="13" t="str">
        <f>UUIDLOOKUP(G117,'UUID Table'!$C$10:$C$201,'UUID Table'!$D$10:$D$201)</f>
        <v>B002</v>
      </c>
      <c r="D117" s="13" t="str">
        <f>UUIDLOOKUP(G117,'UUID Table'!$C$10:$C$201,'UUID Table'!$E$10:$E$201)</f>
        <v>0000B00200001000800000805F9B34FB</v>
      </c>
      <c r="G117" s="42" t="s">
        <v>382</v>
      </c>
      <c r="H117" s="71" t="s">
        <v>558</v>
      </c>
      <c r="I117" s="71" t="s">
        <v>558</v>
      </c>
      <c r="J117" s="71" t="s">
        <v>23</v>
      </c>
      <c r="K117" s="1" t="s">
        <v>23</v>
      </c>
      <c r="L117" s="69" t="s">
        <v>461</v>
      </c>
      <c r="M117" s="68" t="s">
        <v>456</v>
      </c>
    </row>
    <row r="118" spans="1:13" x14ac:dyDescent="0.2">
      <c r="A118" s="26">
        <f>A117+1</f>
        <v>221</v>
      </c>
      <c r="B118" s="1" t="str">
        <f>DEC2HEX(A118,4)</f>
        <v>00DD</v>
      </c>
      <c r="C118" s="13" t="str">
        <f>UUIDLOOKUP(G118,'UUID Table'!$C$10:$C$201,'UUID Table'!$D$10:$D$201)</f>
        <v>B014</v>
      </c>
      <c r="D118" s="13"/>
      <c r="G118" s="65" t="s">
        <v>565</v>
      </c>
      <c r="H118" s="71" t="s">
        <v>558</v>
      </c>
      <c r="I118" s="71" t="s">
        <v>558</v>
      </c>
      <c r="J118" s="71" t="s">
        <v>23</v>
      </c>
      <c r="K118" s="71" t="s">
        <v>23</v>
      </c>
      <c r="L118" s="69" t="s">
        <v>569</v>
      </c>
      <c r="M118" s="68" t="s">
        <v>570</v>
      </c>
    </row>
    <row r="119" spans="1:13" x14ac:dyDescent="0.2">
      <c r="A119" s="26"/>
      <c r="B119" s="13"/>
      <c r="C119" s="13"/>
      <c r="D119" s="13"/>
      <c r="L119" s="65"/>
      <c r="M119" s="68"/>
    </row>
    <row r="120" spans="1:13" x14ac:dyDescent="0.2">
      <c r="H120" s="27" t="s">
        <v>22</v>
      </c>
      <c r="I120" s="76" t="s">
        <v>449</v>
      </c>
      <c r="J120" s="76"/>
    </row>
    <row r="121" spans="1:13" x14ac:dyDescent="0.2">
      <c r="H121" s="27" t="s">
        <v>23</v>
      </c>
      <c r="I121" s="41" t="s">
        <v>28</v>
      </c>
      <c r="J121" s="41"/>
    </row>
    <row r="122" spans="1:13" x14ac:dyDescent="0.2">
      <c r="H122" s="73" t="s">
        <v>24</v>
      </c>
      <c r="I122" s="76" t="s">
        <v>554</v>
      </c>
      <c r="J122" s="41"/>
    </row>
    <row r="123" spans="1:13" x14ac:dyDescent="0.2">
      <c r="C123" s="2"/>
      <c r="H123" s="73" t="s">
        <v>556</v>
      </c>
      <c r="I123" s="76" t="s">
        <v>555</v>
      </c>
      <c r="J123" s="41"/>
    </row>
    <row r="124" spans="1:13" x14ac:dyDescent="0.2">
      <c r="H124" s="73" t="s">
        <v>558</v>
      </c>
      <c r="I124" s="76" t="s">
        <v>557</v>
      </c>
    </row>
    <row r="125" spans="1:13" x14ac:dyDescent="0.2">
      <c r="C125" s="3" t="s">
        <v>366</v>
      </c>
      <c r="G125" s="59" t="s">
        <v>365</v>
      </c>
      <c r="H125" s="60">
        <f t="array" ref="H125">ROWS(A5:A117)-COUNTBLANK(A5:A117)-SUM(IF(FREQUENCY(IF(LEN(A5:A117)&gt;0,MATCH(A5:A117,A5:A117,0),""), IF(LEN(A5:A117)&gt;0,MATCH(A5:A117,A5:A117,0),""))&gt;0,1))</f>
        <v>0</v>
      </c>
      <c r="I125" s="15"/>
      <c r="J125" s="15"/>
      <c r="K125" s="3"/>
    </row>
    <row r="126" spans="1:13" x14ac:dyDescent="0.2">
      <c r="B126"/>
      <c r="C126"/>
      <c r="D126"/>
      <c r="E126" s="15"/>
    </row>
    <row r="127" spans="1:13" x14ac:dyDescent="0.2">
      <c r="B127"/>
      <c r="C127" s="68" t="s">
        <v>433</v>
      </c>
    </row>
    <row r="128" spans="1:13" x14ac:dyDescent="0.2">
      <c r="B128"/>
      <c r="C128" t="s">
        <v>434</v>
      </c>
      <c r="D128"/>
      <c r="E128" s="15"/>
    </row>
    <row r="129" spans="2:11" x14ac:dyDescent="0.2">
      <c r="B129"/>
      <c r="C129" s="70" t="s">
        <v>435</v>
      </c>
      <c r="D129" s="15"/>
      <c r="E129" s="15"/>
      <c r="H129" s="3"/>
      <c r="I129" s="3"/>
      <c r="J129" s="3"/>
      <c r="K129" s="3"/>
    </row>
    <row r="130" spans="2:11" x14ac:dyDescent="0.2">
      <c r="C130" s="68" t="s">
        <v>436</v>
      </c>
    </row>
    <row r="132" spans="2:11" x14ac:dyDescent="0.2">
      <c r="C132" s="68" t="s">
        <v>462</v>
      </c>
    </row>
    <row r="133" spans="2:11" x14ac:dyDescent="0.2">
      <c r="C133" s="68" t="s">
        <v>463</v>
      </c>
    </row>
    <row r="134" spans="2:11" x14ac:dyDescent="0.2">
      <c r="C134" s="68" t="s">
        <v>464</v>
      </c>
    </row>
    <row r="135" spans="2:11" x14ac:dyDescent="0.2">
      <c r="C135" s="68" t="s">
        <v>465</v>
      </c>
    </row>
    <row r="136" spans="2:11" x14ac:dyDescent="0.2">
      <c r="C136" s="68" t="s">
        <v>466</v>
      </c>
    </row>
    <row r="137" spans="2:11" x14ac:dyDescent="0.2">
      <c r="C137" s="68" t="s">
        <v>467</v>
      </c>
    </row>
    <row r="138" spans="2:11" x14ac:dyDescent="0.2">
      <c r="C138" s="68" t="s">
        <v>468</v>
      </c>
    </row>
    <row r="139" spans="2:11" x14ac:dyDescent="0.2">
      <c r="C139" s="68" t="s">
        <v>469</v>
      </c>
    </row>
    <row r="140" spans="2:11" x14ac:dyDescent="0.2">
      <c r="C140" s="68" t="s">
        <v>470</v>
      </c>
    </row>
    <row r="141" spans="2:11" x14ac:dyDescent="0.2">
      <c r="C141" s="68" t="s">
        <v>471</v>
      </c>
    </row>
  </sheetData>
  <conditionalFormatting sqref="G125:H125">
    <cfRule type="expression" dxfId="5" priority="1" stopIfTrue="1">
      <formula>$H$125&gt;0</formula>
    </cfRule>
  </conditionalFormatting>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N99"/>
  <sheetViews>
    <sheetView topLeftCell="A22" workbookViewId="0">
      <selection activeCell="L45" sqref="L45"/>
    </sheetView>
  </sheetViews>
  <sheetFormatPr defaultColWidth="9.140625" defaultRowHeight="12.75" outlineLevelCol="1" x14ac:dyDescent="0.2"/>
  <cols>
    <col min="1" max="1" width="6.5703125" style="3" customWidth="1"/>
    <col min="2" max="2" width="9.7109375" style="3" customWidth="1"/>
    <col min="3" max="3" width="36.5703125" style="3" customWidth="1"/>
    <col min="4" max="4" width="36.5703125" style="3" hidden="1" customWidth="1" outlineLevel="1"/>
    <col min="5" max="5" width="2.7109375" style="3" customWidth="1" collapsed="1"/>
    <col min="6" max="6" width="3" style="3" customWidth="1"/>
    <col min="7" max="7" width="43.42578125" style="3" customWidth="1"/>
    <col min="8" max="11" width="5.5703125" style="27" customWidth="1"/>
    <col min="12" max="12" width="83.5703125" style="3" customWidth="1"/>
    <col min="13" max="13" width="48.28515625" style="3" customWidth="1"/>
    <col min="14" max="16384" width="9.140625" style="3"/>
  </cols>
  <sheetData>
    <row r="2" spans="1:13" s="2" customFormat="1" x14ac:dyDescent="0.2">
      <c r="A2" s="37" t="s">
        <v>7</v>
      </c>
      <c r="B2" s="38" t="s">
        <v>0</v>
      </c>
      <c r="C2" s="32" t="s">
        <v>367</v>
      </c>
      <c r="D2" s="39" t="s">
        <v>9</v>
      </c>
      <c r="E2" s="39" t="s">
        <v>18</v>
      </c>
      <c r="F2" s="39"/>
      <c r="G2" s="38"/>
      <c r="H2" s="31"/>
      <c r="I2" s="32" t="s">
        <v>21</v>
      </c>
      <c r="J2" s="32" t="s">
        <v>21</v>
      </c>
      <c r="K2" s="39"/>
      <c r="L2" s="39" t="s">
        <v>27</v>
      </c>
      <c r="M2" s="39" t="s">
        <v>6</v>
      </c>
    </row>
    <row r="3" spans="1:13" s="2" customFormat="1" ht="25.5" customHeight="1" x14ac:dyDescent="0.2">
      <c r="A3" s="37"/>
      <c r="B3" s="38"/>
      <c r="C3" s="39"/>
      <c r="D3" s="39"/>
      <c r="E3" s="39"/>
      <c r="F3" s="39"/>
      <c r="G3" s="38"/>
      <c r="H3" s="33" t="s">
        <v>25</v>
      </c>
      <c r="I3" s="33" t="s">
        <v>26</v>
      </c>
      <c r="J3" s="94" t="s">
        <v>552</v>
      </c>
      <c r="K3" s="94" t="s">
        <v>553</v>
      </c>
      <c r="L3" s="39"/>
      <c r="M3" s="39"/>
    </row>
    <row r="4" spans="1:13" s="2" customFormat="1" x14ac:dyDescent="0.2">
      <c r="A4" s="11"/>
      <c r="B4" s="12"/>
      <c r="C4" s="11"/>
      <c r="D4" s="11"/>
      <c r="E4" s="11"/>
      <c r="F4" s="11"/>
      <c r="G4" s="12"/>
      <c r="H4" s="28"/>
      <c r="I4" s="28"/>
      <c r="J4" s="28"/>
      <c r="K4" s="28"/>
      <c r="L4" s="11"/>
      <c r="M4" s="11"/>
    </row>
    <row r="5" spans="1:13" x14ac:dyDescent="0.2">
      <c r="A5" s="40">
        <v>1</v>
      </c>
      <c r="B5" s="8" t="str">
        <f t="shared" ref="B5:B33" si="0">DEC2HEX(A5,4)</f>
        <v>0001</v>
      </c>
      <c r="C5" s="8" t="str">
        <f>UUIDLOOKUP(E5,'UUID Table'!$C$10:$C$201,'UUID Table'!$D$10:$D$201)</f>
        <v>2800</v>
      </c>
      <c r="D5" s="8" t="str">
        <f>UUIDLOOKUP(E5,'UUID Table'!$C$10:$C$201,'UUID Table'!$E$10:$E$201)</f>
        <v>0000280000001000800000805F9B34FB</v>
      </c>
      <c r="E5" s="67" t="s">
        <v>376</v>
      </c>
      <c r="F5" s="8"/>
      <c r="G5" s="8"/>
      <c r="H5" s="8" t="s">
        <v>22</v>
      </c>
      <c r="I5" s="8" t="s">
        <v>23</v>
      </c>
      <c r="J5" s="8" t="s">
        <v>23</v>
      </c>
      <c r="K5" s="8" t="s">
        <v>23</v>
      </c>
      <c r="L5" s="10" t="str">
        <f>"{Service=0x"&amp;TEXT('UUID Table'!$E$155,"0000")&amp;" (""Service C.2"")}"</f>
        <v>{Service=0x0000A00C000000000123456789ABCDEF ("Service C.2")}</v>
      </c>
      <c r="M5" s="10"/>
    </row>
    <row r="6" spans="1:13" x14ac:dyDescent="0.2">
      <c r="A6" s="35">
        <f>A5+1</f>
        <v>2</v>
      </c>
      <c r="B6" s="5" t="str">
        <f t="shared" si="0"/>
        <v>0002</v>
      </c>
      <c r="C6" s="5" t="str">
        <f>UUIDLOOKUP(F6,'UUID Table'!$C$10:$C$201,'UUID Table'!$D$10:$D$201)</f>
        <v>2803</v>
      </c>
      <c r="D6" s="5" t="str">
        <f>UUIDLOOKUP(F6,'UUID Table'!$C$10:$C$201,'UUID Table'!$E$10:$E$201)</f>
        <v>0000280300001000800000805F9B34FB</v>
      </c>
      <c r="E6" s="6" t="s">
        <v>1</v>
      </c>
      <c r="F6" s="6" t="s">
        <v>32</v>
      </c>
      <c r="G6" s="6"/>
      <c r="H6" s="30" t="s">
        <v>22</v>
      </c>
      <c r="I6" s="30" t="s">
        <v>23</v>
      </c>
      <c r="J6" s="30" t="s">
        <v>23</v>
      </c>
      <c r="K6" s="30" t="s">
        <v>23</v>
      </c>
      <c r="L6" s="7" t="str">
        <f>"{properties=0x02, handle=0x"&amp;TEXT(B7,"0000")&amp;", UUID=0x"&amp;TEXT(C7,"0000")&amp;"}"</f>
        <v>{properties=0x02, handle=0x0003, UUID=0xB00A}</v>
      </c>
      <c r="M6" s="7"/>
    </row>
    <row r="7" spans="1:13" x14ac:dyDescent="0.2">
      <c r="A7" s="26">
        <f>A6+1</f>
        <v>3</v>
      </c>
      <c r="B7" s="1" t="str">
        <f t="shared" si="0"/>
        <v>0003</v>
      </c>
      <c r="C7" s="13" t="str">
        <f>UUIDLOOKUP(G7,'UUID Table'!$C$10:$C$201,'UUID Table'!$D$10:$D$201)</f>
        <v>B00A</v>
      </c>
      <c r="D7" s="13" t="str">
        <f>UUIDLOOKUP(G7,'UUID Table'!$C$10:$C$201,'UUID Table'!$E$10:$E$201)</f>
        <v>0000B00A00001000800000805F9B34FB</v>
      </c>
      <c r="G7" s="42" t="s">
        <v>392</v>
      </c>
      <c r="H7" s="1" t="s">
        <v>22</v>
      </c>
      <c r="I7" s="1" t="s">
        <v>23</v>
      </c>
      <c r="J7" s="1" t="s">
        <v>23</v>
      </c>
      <c r="K7" s="1" t="s">
        <v>23</v>
      </c>
      <c r="L7" s="69" t="s">
        <v>428</v>
      </c>
    </row>
    <row r="8" spans="1:13" x14ac:dyDescent="0.2">
      <c r="A8" s="35">
        <f t="shared" ref="A8:A19" si="1">A7+1</f>
        <v>4</v>
      </c>
      <c r="B8" s="5" t="str">
        <f t="shared" si="0"/>
        <v>0004</v>
      </c>
      <c r="C8" s="5" t="str">
        <f>UUIDLOOKUP(F8,'UUID Table'!$C$10:$C$201,'UUID Table'!$D$10:$D$201)</f>
        <v>2803</v>
      </c>
      <c r="D8" s="5" t="str">
        <f>UUIDLOOKUP(F8,'UUID Table'!$C$10:$C$201,'UUID Table'!$E$10:$E$201)</f>
        <v>0000280300001000800000805F9B34FB</v>
      </c>
      <c r="E8" s="6" t="s">
        <v>1</v>
      </c>
      <c r="F8" s="6" t="s">
        <v>32</v>
      </c>
      <c r="G8" s="6"/>
      <c r="H8" s="30" t="s">
        <v>22</v>
      </c>
      <c r="I8" s="30" t="s">
        <v>23</v>
      </c>
      <c r="J8" s="30" t="s">
        <v>23</v>
      </c>
      <c r="K8" s="30" t="s">
        <v>23</v>
      </c>
      <c r="L8" s="7" t="str">
        <f>"{properties=0x0A, handle=0x"&amp;TEXT(B9,"0000")&amp;", UUID=0x"&amp;TEXT(C9,"0000")&amp;"}"</f>
        <v>{properties=0x0A, handle=0x0005, UUID=0xB002}</v>
      </c>
      <c r="M8" s="7"/>
    </row>
    <row r="9" spans="1:13" x14ac:dyDescent="0.2">
      <c r="A9" s="26">
        <f t="shared" si="1"/>
        <v>5</v>
      </c>
      <c r="B9" s="1" t="str">
        <f t="shared" si="0"/>
        <v>0005</v>
      </c>
      <c r="C9" s="13" t="str">
        <f>UUIDLOOKUP(G9,'UUID Table'!$C$10:$C$201,'UUID Table'!$D$10:$D$201)</f>
        <v>B002</v>
      </c>
      <c r="D9" s="13" t="str">
        <f>UUIDLOOKUP(G9,'UUID Table'!$C$10:$C$201,'UUID Table'!$E$10:$E$201)</f>
        <v>0000B00200001000800000805F9B34FB</v>
      </c>
      <c r="G9" s="42" t="s">
        <v>382</v>
      </c>
      <c r="H9" s="1" t="s">
        <v>22</v>
      </c>
      <c r="I9" s="71" t="s">
        <v>22</v>
      </c>
      <c r="J9" s="71" t="s">
        <v>23</v>
      </c>
      <c r="K9" s="1" t="s">
        <v>23</v>
      </c>
      <c r="L9" s="69" t="s">
        <v>450</v>
      </c>
      <c r="M9" s="68" t="s">
        <v>455</v>
      </c>
    </row>
    <row r="10" spans="1:13" x14ac:dyDescent="0.2">
      <c r="A10" s="35">
        <f t="shared" si="1"/>
        <v>6</v>
      </c>
      <c r="B10" s="5" t="str">
        <f t="shared" si="0"/>
        <v>0006</v>
      </c>
      <c r="C10" s="5" t="str">
        <f>UUIDLOOKUP(F10,'UUID Table'!$C$10:$C$201,'UUID Table'!$D$10:$D$201)</f>
        <v>2803</v>
      </c>
      <c r="D10" s="5" t="str">
        <f>UUIDLOOKUP(F10,'UUID Table'!$C$10:$C$201,'UUID Table'!$E$10:$E$201)</f>
        <v>0000280300001000800000805F9B34FB</v>
      </c>
      <c r="E10" s="6" t="s">
        <v>1</v>
      </c>
      <c r="F10" s="6" t="s">
        <v>32</v>
      </c>
      <c r="G10" s="6"/>
      <c r="H10" s="30" t="s">
        <v>22</v>
      </c>
      <c r="I10" s="30" t="s">
        <v>23</v>
      </c>
      <c r="J10" s="30" t="s">
        <v>23</v>
      </c>
      <c r="K10" s="30" t="s">
        <v>23</v>
      </c>
      <c r="L10" s="7" t="str">
        <f>"{properties=0x0A, handle=0x"&amp;TEXT(B11,"0000")&amp;", UUID=0x"&amp;TEXT(C11,"0000")&amp;"}"</f>
        <v>{properties=0x0A, handle=0x0007, UUID=0xB002}</v>
      </c>
      <c r="M10" s="7"/>
    </row>
    <row r="11" spans="1:13" x14ac:dyDescent="0.2">
      <c r="A11" s="26">
        <f t="shared" si="1"/>
        <v>7</v>
      </c>
      <c r="B11" s="1" t="str">
        <f t="shared" si="0"/>
        <v>0007</v>
      </c>
      <c r="C11" s="13" t="str">
        <f>UUIDLOOKUP(G11,'UUID Table'!$C$10:$C$201,'UUID Table'!$D$10:$D$201)</f>
        <v>B002</v>
      </c>
      <c r="D11" s="13" t="str">
        <f>UUIDLOOKUP(G11,'UUID Table'!$C$10:$C$201,'UUID Table'!$E$10:$E$201)</f>
        <v>0000B00200001000800000805F9B34FB</v>
      </c>
      <c r="G11" s="42" t="s">
        <v>382</v>
      </c>
      <c r="H11" s="1" t="s">
        <v>22</v>
      </c>
      <c r="I11" s="71" t="s">
        <v>22</v>
      </c>
      <c r="J11" s="71" t="s">
        <v>23</v>
      </c>
      <c r="K11" s="1" t="s">
        <v>23</v>
      </c>
      <c r="L11" s="69" t="s">
        <v>451</v>
      </c>
      <c r="M11" s="68" t="s">
        <v>460</v>
      </c>
    </row>
    <row r="12" spans="1:13" x14ac:dyDescent="0.2">
      <c r="A12" s="35">
        <f t="shared" si="1"/>
        <v>8</v>
      </c>
      <c r="B12" s="5" t="str">
        <f t="shared" si="0"/>
        <v>0008</v>
      </c>
      <c r="C12" s="5" t="str">
        <f>UUIDLOOKUP(F12,'UUID Table'!$C$10:$C$201,'UUID Table'!$D$10:$D$201)</f>
        <v>2803</v>
      </c>
      <c r="D12" s="5" t="str">
        <f>UUIDLOOKUP(F12,'UUID Table'!$C$10:$C$201,'UUID Table'!$E$10:$E$201)</f>
        <v>0000280300001000800000805F9B34FB</v>
      </c>
      <c r="E12" s="6" t="s">
        <v>1</v>
      </c>
      <c r="F12" s="6" t="s">
        <v>32</v>
      </c>
      <c r="G12" s="6"/>
      <c r="H12" s="30" t="s">
        <v>22</v>
      </c>
      <c r="I12" s="30" t="s">
        <v>23</v>
      </c>
      <c r="J12" s="30" t="s">
        <v>23</v>
      </c>
      <c r="K12" s="30" t="s">
        <v>23</v>
      </c>
      <c r="L12" s="7" t="str">
        <f>"{properties=0x0A, handle=0x"&amp;TEXT(B13,"0000")&amp;", UUID=0x"&amp;TEXT(C13,"0000")&amp;"}"</f>
        <v>{properties=0x0A, handle=0x0009, UUID=0xB002}</v>
      </c>
      <c r="M12" s="7"/>
    </row>
    <row r="13" spans="1:13" x14ac:dyDescent="0.2">
      <c r="A13" s="26">
        <f t="shared" si="1"/>
        <v>9</v>
      </c>
      <c r="B13" s="1" t="str">
        <f t="shared" si="0"/>
        <v>0009</v>
      </c>
      <c r="C13" s="13" t="str">
        <f>UUIDLOOKUP(G13,'UUID Table'!$C$10:$C$201,'UUID Table'!$D$10:$D$201)</f>
        <v>B002</v>
      </c>
      <c r="D13" s="13" t="str">
        <f>UUIDLOOKUP(G13,'UUID Table'!$C$10:$C$201,'UUID Table'!$E$10:$E$201)</f>
        <v>0000B00200001000800000805F9B34FB</v>
      </c>
      <c r="G13" s="42" t="s">
        <v>382</v>
      </c>
      <c r="H13" s="1" t="s">
        <v>22</v>
      </c>
      <c r="I13" s="71" t="s">
        <v>22</v>
      </c>
      <c r="J13" s="71" t="s">
        <v>23</v>
      </c>
      <c r="K13" s="1" t="s">
        <v>23</v>
      </c>
      <c r="L13" s="69" t="s">
        <v>452</v>
      </c>
      <c r="M13" s="68" t="s">
        <v>459</v>
      </c>
    </row>
    <row r="14" spans="1:13" x14ac:dyDescent="0.2">
      <c r="A14" s="35">
        <f t="shared" si="1"/>
        <v>10</v>
      </c>
      <c r="B14" s="5" t="str">
        <f t="shared" si="0"/>
        <v>000A</v>
      </c>
      <c r="C14" s="5" t="str">
        <f>UUIDLOOKUP(F14,'UUID Table'!$C$10:$C$201,'UUID Table'!$D$10:$D$201)</f>
        <v>2803</v>
      </c>
      <c r="D14" s="5" t="str">
        <f>UUIDLOOKUP(F14,'UUID Table'!$C$10:$C$201,'UUID Table'!$E$10:$E$201)</f>
        <v>0000280300001000800000805F9B34FB</v>
      </c>
      <c r="E14" s="6" t="s">
        <v>1</v>
      </c>
      <c r="F14" s="6" t="s">
        <v>32</v>
      </c>
      <c r="G14" s="6"/>
      <c r="H14" s="30" t="s">
        <v>22</v>
      </c>
      <c r="I14" s="30" t="s">
        <v>23</v>
      </c>
      <c r="J14" s="30" t="s">
        <v>23</v>
      </c>
      <c r="K14" s="30" t="s">
        <v>23</v>
      </c>
      <c r="L14" s="7" t="str">
        <f>"{properties=0x0A, handle=0x"&amp;TEXT(B15,"0000")&amp;", UUID=0x"&amp;TEXT(C15,"0000")&amp;"}"</f>
        <v>{properties=0x0A, handle=0x000B, UUID=0xB002}</v>
      </c>
      <c r="M14" s="7"/>
    </row>
    <row r="15" spans="1:13" x14ac:dyDescent="0.2">
      <c r="A15" s="26">
        <f t="shared" si="1"/>
        <v>11</v>
      </c>
      <c r="B15" s="1" t="str">
        <f t="shared" si="0"/>
        <v>000B</v>
      </c>
      <c r="C15" s="13" t="str">
        <f>UUIDLOOKUP(G15,'UUID Table'!$C$10:$C$201,'UUID Table'!$D$10:$D$201)</f>
        <v>B002</v>
      </c>
      <c r="D15" s="13" t="str">
        <f>UUIDLOOKUP(G15,'UUID Table'!$C$10:$C$201,'UUID Table'!$E$10:$E$201)</f>
        <v>0000B00200001000800000805F9B34FB</v>
      </c>
      <c r="G15" s="42" t="s">
        <v>382</v>
      </c>
      <c r="H15" s="1" t="s">
        <v>22</v>
      </c>
      <c r="I15" s="71" t="s">
        <v>22</v>
      </c>
      <c r="J15" s="71" t="s">
        <v>23</v>
      </c>
      <c r="K15" s="1" t="s">
        <v>23</v>
      </c>
      <c r="L15" s="69" t="s">
        <v>453</v>
      </c>
      <c r="M15" s="68" t="s">
        <v>458</v>
      </c>
    </row>
    <row r="16" spans="1:13" x14ac:dyDescent="0.2">
      <c r="A16" s="35">
        <f t="shared" si="1"/>
        <v>12</v>
      </c>
      <c r="B16" s="5" t="str">
        <f t="shared" si="0"/>
        <v>000C</v>
      </c>
      <c r="C16" s="5" t="str">
        <f>UUIDLOOKUP(F16,'UUID Table'!$C$10:$C$201,'UUID Table'!$D$10:$D$201)</f>
        <v>2803</v>
      </c>
      <c r="D16" s="5" t="str">
        <f>UUIDLOOKUP(F16,'UUID Table'!$C$10:$C$201,'UUID Table'!$E$10:$E$201)</f>
        <v>0000280300001000800000805F9B34FB</v>
      </c>
      <c r="E16" s="6" t="s">
        <v>1</v>
      </c>
      <c r="F16" s="6" t="s">
        <v>32</v>
      </c>
      <c r="G16" s="6"/>
      <c r="H16" s="30" t="s">
        <v>22</v>
      </c>
      <c r="I16" s="30" t="s">
        <v>23</v>
      </c>
      <c r="J16" s="30" t="s">
        <v>23</v>
      </c>
      <c r="K16" s="30" t="s">
        <v>23</v>
      </c>
      <c r="L16" s="7" t="str">
        <f>"{properties=0x0A, handle=0x"&amp;TEXT(B17,"0000")&amp;", UUID=0x"&amp;TEXT(C17,"0000")&amp;"}"</f>
        <v>{properties=0x0A, handle=0x000D, UUID=0xB002}</v>
      </c>
      <c r="M16" s="7"/>
    </row>
    <row r="17" spans="1:13" x14ac:dyDescent="0.2">
      <c r="A17" s="26">
        <f t="shared" si="1"/>
        <v>13</v>
      </c>
      <c r="B17" s="1" t="str">
        <f t="shared" si="0"/>
        <v>000D</v>
      </c>
      <c r="C17" s="13" t="str">
        <f>UUIDLOOKUP(G17,'UUID Table'!$C$10:$C$201,'UUID Table'!$D$10:$D$201)</f>
        <v>B002</v>
      </c>
      <c r="D17" s="13" t="str">
        <f>UUIDLOOKUP(G17,'UUID Table'!$C$10:$C$201,'UUID Table'!$E$10:$E$201)</f>
        <v>0000B00200001000800000805F9B34FB</v>
      </c>
      <c r="G17" s="42" t="s">
        <v>382</v>
      </c>
      <c r="H17" s="1" t="s">
        <v>22</v>
      </c>
      <c r="I17" s="71" t="s">
        <v>22</v>
      </c>
      <c r="J17" s="71" t="s">
        <v>23</v>
      </c>
      <c r="K17" s="1" t="s">
        <v>23</v>
      </c>
      <c r="L17" s="69" t="s">
        <v>454</v>
      </c>
      <c r="M17" s="68" t="s">
        <v>457</v>
      </c>
    </row>
    <row r="18" spans="1:13" x14ac:dyDescent="0.2">
      <c r="A18" s="35">
        <f t="shared" si="1"/>
        <v>14</v>
      </c>
      <c r="B18" s="5" t="str">
        <f t="shared" si="0"/>
        <v>000E</v>
      </c>
      <c r="C18" s="5" t="str">
        <f>UUIDLOOKUP(F18,'UUID Table'!$C$10:$C$201,'UUID Table'!$D$10:$D$201)</f>
        <v>2803</v>
      </c>
      <c r="D18" s="5" t="str">
        <f>UUIDLOOKUP(F18,'UUID Table'!$C$10:$C$201,'UUID Table'!$E$10:$E$201)</f>
        <v>0000280300001000800000805F9B34FB</v>
      </c>
      <c r="E18" s="6" t="s">
        <v>1</v>
      </c>
      <c r="F18" s="6" t="s">
        <v>32</v>
      </c>
      <c r="G18" s="6"/>
      <c r="H18" s="30" t="s">
        <v>22</v>
      </c>
      <c r="I18" s="30" t="s">
        <v>23</v>
      </c>
      <c r="J18" s="30" t="s">
        <v>23</v>
      </c>
      <c r="K18" s="30" t="s">
        <v>23</v>
      </c>
      <c r="L18" s="7" t="str">
        <f>"{properties=0x0A, handle=0x"&amp;TEXT(B19,"0000")&amp;", UUID=0x"&amp;TEXT(C19,"0000")&amp;"}"</f>
        <v>{properties=0x0A, handle=0x000F, UUID=0xB002}</v>
      </c>
      <c r="M18" s="7"/>
    </row>
    <row r="19" spans="1:13" x14ac:dyDescent="0.2">
      <c r="A19" s="26">
        <f t="shared" si="1"/>
        <v>15</v>
      </c>
      <c r="B19" s="1" t="str">
        <f t="shared" si="0"/>
        <v>000F</v>
      </c>
      <c r="C19" s="13" t="str">
        <f>UUIDLOOKUP(G19,'UUID Table'!$C$10:$C$201,'UUID Table'!$D$10:$D$201)</f>
        <v>B002</v>
      </c>
      <c r="D19" s="13" t="str">
        <f>UUIDLOOKUP(G19,'UUID Table'!$C$10:$C$201,'UUID Table'!$E$10:$E$201)</f>
        <v>0000B00200001000800000805F9B34FB</v>
      </c>
      <c r="G19" s="42" t="s">
        <v>382</v>
      </c>
      <c r="H19" s="1" t="s">
        <v>22</v>
      </c>
      <c r="I19" s="71" t="s">
        <v>22</v>
      </c>
      <c r="J19" s="71" t="s">
        <v>23</v>
      </c>
      <c r="K19" s="1" t="s">
        <v>23</v>
      </c>
      <c r="L19" s="69" t="s">
        <v>461</v>
      </c>
      <c r="M19" s="68" t="s">
        <v>456</v>
      </c>
    </row>
    <row r="20" spans="1:13" x14ac:dyDescent="0.2">
      <c r="A20" s="40">
        <v>16</v>
      </c>
      <c r="B20" s="8" t="str">
        <f t="shared" si="0"/>
        <v>0010</v>
      </c>
      <c r="C20" s="8" t="str">
        <f>UUIDLOOKUP(E20,'UUID Table'!$C$10:$C$201,'UUID Table'!$D$10:$D$201)</f>
        <v>2800</v>
      </c>
      <c r="D20" s="8" t="str">
        <f>UUIDLOOKUP(E20,'UUID Table'!$C$10:$C$201,'UUID Table'!$E$10:$E$201)</f>
        <v>0000280000001000800000805F9B34FB</v>
      </c>
      <c r="E20" s="67" t="s">
        <v>376</v>
      </c>
      <c r="F20" s="9"/>
      <c r="G20" s="9"/>
      <c r="H20" s="29" t="s">
        <v>22</v>
      </c>
      <c r="I20" s="29" t="s">
        <v>23</v>
      </c>
      <c r="J20" s="29" t="s">
        <v>23</v>
      </c>
      <c r="K20" s="29" t="s">
        <v>23</v>
      </c>
      <c r="L20" s="10" t="str">
        <f>"{Service=0x"&amp;TEXT('UUID Table'!$D$130,"0000")&amp;" (""Attribute Profile"")}"</f>
        <v>{Service=0x1801 ("Attribute Profile")}</v>
      </c>
      <c r="M20" s="10"/>
    </row>
    <row r="21" spans="1:13" x14ac:dyDescent="0.2">
      <c r="A21" s="35">
        <f>A20+1</f>
        <v>17</v>
      </c>
      <c r="B21" s="5" t="str">
        <f t="shared" si="0"/>
        <v>0011</v>
      </c>
      <c r="C21" s="5" t="str">
        <f>UUIDLOOKUP(F21,'UUID Table'!$C$10:$C$201,'UUID Table'!$D$10:$D$201)</f>
        <v>2803</v>
      </c>
      <c r="D21" s="5" t="str">
        <f>UUIDLOOKUP(F21,'UUID Table'!$C$10:$C$201,'UUID Table'!$E$10:$E$201)</f>
        <v>0000280300001000800000805F9B34FB</v>
      </c>
      <c r="E21" s="6" t="s">
        <v>1</v>
      </c>
      <c r="F21" s="6" t="s">
        <v>32</v>
      </c>
      <c r="G21" s="6"/>
      <c r="H21" s="30" t="s">
        <v>22</v>
      </c>
      <c r="I21" s="72" t="s">
        <v>23</v>
      </c>
      <c r="J21" s="72" t="s">
        <v>23</v>
      </c>
      <c r="K21" s="30" t="s">
        <v>23</v>
      </c>
      <c r="L21" s="7" t="str">
        <f>"{properties=0x20, handle=0x"&amp;TEXT(B22,"0000")&amp;", UUID=0x"&amp;TEXT(C22,"0000")&amp;"}"</f>
        <v>{properties=0x20, handle=0x0012, UUID=0x2A05}</v>
      </c>
      <c r="M21" s="7"/>
    </row>
    <row r="22" spans="1:13" x14ac:dyDescent="0.2">
      <c r="A22" s="26">
        <f>A21+1</f>
        <v>18</v>
      </c>
      <c r="B22" s="1" t="str">
        <f t="shared" si="0"/>
        <v>0012</v>
      </c>
      <c r="C22" s="13" t="str">
        <f>UUIDLOOKUP(G22,'UUID Table'!$C$10:$C$201,'UUID Table'!$D$10:$D$201)</f>
        <v>2A05</v>
      </c>
      <c r="D22" s="13" t="str">
        <f>UUIDLOOKUP(G22,'UUID Table'!$C$10:$C$201,'UUID Table'!$E$10:$E$201)</f>
        <v>00002A0500001000800000805F9B34FB</v>
      </c>
      <c r="G22" s="42" t="s">
        <v>29</v>
      </c>
      <c r="H22" s="71" t="s">
        <v>23</v>
      </c>
      <c r="I22" s="71" t="s">
        <v>23</v>
      </c>
      <c r="J22" s="71" t="s">
        <v>22</v>
      </c>
      <c r="K22" s="71" t="s">
        <v>23</v>
      </c>
      <c r="L22" s="69" t="s">
        <v>438</v>
      </c>
    </row>
    <row r="23" spans="1:13" x14ac:dyDescent="0.2">
      <c r="A23" s="26">
        <f>A22+1</f>
        <v>19</v>
      </c>
      <c r="B23" s="1" t="str">
        <f t="shared" si="0"/>
        <v>0013</v>
      </c>
      <c r="C23" s="13" t="str">
        <f>UUIDLOOKUP(G23,'UUID Table'!$C$10:$C$201,'UUID Table'!$D$10:$D$201)</f>
        <v>2902</v>
      </c>
      <c r="D23" s="13" t="str">
        <f>UUIDLOOKUP(G23,'UUID Table'!$C$10:$C$201,'UUID Table'!$E$10:$E$201)</f>
        <v>0000290200001000800000805F9B34FB</v>
      </c>
      <c r="G23" s="42" t="s">
        <v>363</v>
      </c>
      <c r="H23" s="71" t="s">
        <v>22</v>
      </c>
      <c r="I23" s="71" t="s">
        <v>22</v>
      </c>
      <c r="J23" s="71" t="s">
        <v>23</v>
      </c>
      <c r="K23" s="71" t="s">
        <v>23</v>
      </c>
      <c r="L23" s="69" t="s">
        <v>590</v>
      </c>
    </row>
    <row r="24" spans="1:13" x14ac:dyDescent="0.2">
      <c r="A24" s="40">
        <v>32</v>
      </c>
      <c r="B24" s="8" t="str">
        <f t="shared" si="0"/>
        <v>0020</v>
      </c>
      <c r="C24" s="8" t="str">
        <f>UUIDLOOKUP(E24,'UUID Table'!$C$10:$C$201,'UUID Table'!$D$10:$D$201)</f>
        <v>2800</v>
      </c>
      <c r="D24" s="8" t="str">
        <f>UUIDLOOKUP(E24,'UUID Table'!$C$10:$C$201,'UUID Table'!$E$10:$E$201)</f>
        <v>0000280000001000800000805F9B34FB</v>
      </c>
      <c r="E24" s="67" t="s">
        <v>376</v>
      </c>
      <c r="F24" s="8"/>
      <c r="G24" s="8"/>
      <c r="H24" s="8" t="s">
        <v>22</v>
      </c>
      <c r="I24" s="8" t="s">
        <v>23</v>
      </c>
      <c r="J24" s="8" t="s">
        <v>23</v>
      </c>
      <c r="K24" s="8" t="s">
        <v>23</v>
      </c>
      <c r="L24" s="10" t="str">
        <f>"{Service=0x"&amp;TEXT('UUID Table'!$E$155,"0000")&amp;" (""Service C.1"")}"</f>
        <v>{Service=0x0000A00C000000000123456789ABCDEF ("Service C.1")}</v>
      </c>
      <c r="M24" s="10"/>
    </row>
    <row r="25" spans="1:13" x14ac:dyDescent="0.2">
      <c r="A25" s="104">
        <f>A24+1</f>
        <v>33</v>
      </c>
      <c r="B25" s="105" t="str">
        <f>DEC2HEX(A25,4)</f>
        <v>0021</v>
      </c>
      <c r="C25" s="105" t="str">
        <f>UUIDLOOKUP(G25,'UUID Table'!$C$10:$C$201,'UUID Table'!$D$10:$D$201)</f>
        <v>2802</v>
      </c>
      <c r="D25" s="105"/>
      <c r="E25" s="106"/>
      <c r="F25" s="105"/>
      <c r="G25" s="107" t="s">
        <v>348</v>
      </c>
      <c r="H25" s="108" t="s">
        <v>22</v>
      </c>
      <c r="I25" s="108" t="s">
        <v>23</v>
      </c>
      <c r="J25" s="108" t="s">
        <v>23</v>
      </c>
      <c r="K25" s="108" t="s">
        <v>23</v>
      </c>
      <c r="L25" s="109" t="str">
        <f>"{handle=0x"&amp;TEXT(B34,"0000")&amp;", end group handle=0x"&amp;TEXT(B39,"0000")&amp;", UUID=0x"&amp;TEXT('UUID Table'!$D$160,"0000")&amp;"}"</f>
        <v>{handle=0x0040, end group handle=0x0045, UUID=0xA00D}</v>
      </c>
      <c r="M25" s="103"/>
    </row>
    <row r="26" spans="1:13" x14ac:dyDescent="0.2">
      <c r="A26" s="35">
        <f>A25+1</f>
        <v>34</v>
      </c>
      <c r="B26" s="5" t="str">
        <f t="shared" si="0"/>
        <v>0022</v>
      </c>
      <c r="C26" s="5" t="str">
        <f>UUIDLOOKUP(F26,'UUID Table'!$C$10:$C$201,'UUID Table'!$D$10:$D$201)</f>
        <v>2803</v>
      </c>
      <c r="D26" s="5" t="str">
        <f>UUIDLOOKUP(F26,'UUID Table'!$C$10:$C$201,'UUID Table'!$E$10:$E$201)</f>
        <v>0000280300001000800000805F9B34FB</v>
      </c>
      <c r="E26" s="6" t="s">
        <v>1</v>
      </c>
      <c r="F26" s="6" t="s">
        <v>32</v>
      </c>
      <c r="G26" s="6"/>
      <c r="H26" s="30" t="s">
        <v>22</v>
      </c>
      <c r="I26" s="30" t="s">
        <v>23</v>
      </c>
      <c r="J26" s="30" t="s">
        <v>23</v>
      </c>
      <c r="K26" s="30" t="s">
        <v>23</v>
      </c>
      <c r="L26" s="7" t="str">
        <f>"{properties=0x8A, handle=0x"&amp;TEXT(B27,"0000")&amp;", UUID=0x"&amp;TEXT(C27,"0000")&amp;"}"</f>
        <v>{properties=0x8A, handle=0x0023, UUID=0x0000B009000000000123456789ABCDEF}</v>
      </c>
      <c r="M26" s="7"/>
    </row>
    <row r="27" spans="1:13" x14ac:dyDescent="0.2">
      <c r="A27" s="26">
        <f t="shared" ref="A27:A30" si="2">A26+1</f>
        <v>35</v>
      </c>
      <c r="B27" s="1" t="str">
        <f t="shared" si="0"/>
        <v>0023</v>
      </c>
      <c r="C27" s="13" t="str">
        <f>UUIDLOOKUP(G27,'UUID Table'!$C$10:$C$201,'UUID Table'!$E$10:$E$201)</f>
        <v>0000B009000000000123456789ABCDEF</v>
      </c>
      <c r="D27" s="13" t="str">
        <f>UUIDLOOKUP(G27,'UUID Table'!$C$10:$C$201,'UUID Table'!$E$10:$E$201)</f>
        <v>0000B009000000000123456789ABCDEF</v>
      </c>
      <c r="G27" s="42" t="s">
        <v>394</v>
      </c>
      <c r="H27" s="1" t="s">
        <v>22</v>
      </c>
      <c r="I27" s="71" t="s">
        <v>22</v>
      </c>
      <c r="J27" s="71" t="s">
        <v>23</v>
      </c>
      <c r="K27" s="1" t="s">
        <v>23</v>
      </c>
      <c r="L27" s="69" t="s">
        <v>421</v>
      </c>
    </row>
    <row r="28" spans="1:13" x14ac:dyDescent="0.2">
      <c r="A28" s="54">
        <f t="shared" si="2"/>
        <v>36</v>
      </c>
      <c r="B28" s="13" t="str">
        <f t="shared" si="0"/>
        <v>0024</v>
      </c>
      <c r="C28" s="13" t="str">
        <f>UUIDLOOKUP(G28,'UUID Table'!$C$10:$C$201,'UUID Table'!$E$10:$E$201)</f>
        <v>0000D9D2000000000123456789ABCDEF</v>
      </c>
      <c r="D28" s="13" t="str">
        <f>UUIDLOOKUP(G28,'UUID Table'!$C$10:$C$201,'UUID Table'!$E$10:$E$201)</f>
        <v>0000D9D2000000000123456789ABCDEF</v>
      </c>
      <c r="G28" s="68" t="s">
        <v>423</v>
      </c>
      <c r="H28" s="27" t="s">
        <v>22</v>
      </c>
      <c r="I28" s="73" t="s">
        <v>22</v>
      </c>
      <c r="J28" s="73" t="s">
        <v>23</v>
      </c>
      <c r="K28" s="27" t="s">
        <v>23</v>
      </c>
      <c r="L28" s="65" t="s">
        <v>424</v>
      </c>
      <c r="M28" s="68" t="s">
        <v>425</v>
      </c>
    </row>
    <row r="29" spans="1:13" x14ac:dyDescent="0.2">
      <c r="A29" s="26">
        <f t="shared" si="2"/>
        <v>37</v>
      </c>
      <c r="B29" s="13" t="str">
        <f t="shared" si="0"/>
        <v>0025</v>
      </c>
      <c r="C29" s="13" t="str">
        <f>UUIDLOOKUP(G29,'UUID Table'!$C$10:$C$201,'UUID Table'!$E$10:$E$201)</f>
        <v>0000D9D3000000000123456789ABCDEF</v>
      </c>
      <c r="D29" s="13" t="str">
        <f>UUIDLOOKUP(G29,'UUID Table'!$C$10:$C$201,'UUID Table'!$E$10:$E$201)</f>
        <v>0000D9D3000000000123456789ABCDEF</v>
      </c>
      <c r="G29" s="68" t="s">
        <v>445</v>
      </c>
      <c r="H29" s="73" t="s">
        <v>23</v>
      </c>
      <c r="I29" s="73" t="s">
        <v>22</v>
      </c>
      <c r="J29" s="73" t="s">
        <v>23</v>
      </c>
      <c r="K29" s="27" t="s">
        <v>23</v>
      </c>
      <c r="L29" s="65" t="s">
        <v>447</v>
      </c>
      <c r="M29" s="68" t="s">
        <v>448</v>
      </c>
    </row>
    <row r="30" spans="1:13" x14ac:dyDescent="0.2">
      <c r="A30" s="26">
        <f t="shared" si="2"/>
        <v>38</v>
      </c>
      <c r="B30" s="13" t="str">
        <f t="shared" si="0"/>
        <v>0026</v>
      </c>
      <c r="C30" s="13" t="str">
        <f>UUIDLOOKUP(G30,'UUID Table'!$C$10:$C$201,'UUID Table'!$D$10:$D$201)</f>
        <v>2900</v>
      </c>
      <c r="D30" s="13" t="str">
        <f>UUIDLOOKUP(G30,'UUID Table'!$C$10:$C$201,'UUID Table'!$E$10:$E$201)</f>
        <v>0000290000001000800000805F9B34FB</v>
      </c>
      <c r="G30" s="3" t="s">
        <v>349</v>
      </c>
      <c r="H30" s="27" t="s">
        <v>22</v>
      </c>
      <c r="I30" s="27" t="s">
        <v>23</v>
      </c>
      <c r="J30" s="27" t="s">
        <v>23</v>
      </c>
      <c r="K30" s="27" t="s">
        <v>23</v>
      </c>
      <c r="L30" s="65" t="s">
        <v>352</v>
      </c>
      <c r="M30" s="68" t="s">
        <v>422</v>
      </c>
    </row>
    <row r="31" spans="1:13" x14ac:dyDescent="0.2">
      <c r="A31" s="40">
        <v>48</v>
      </c>
      <c r="B31" s="8" t="str">
        <f t="shared" si="0"/>
        <v>0030</v>
      </c>
      <c r="C31" s="8" t="str">
        <f>UUIDLOOKUP(E31,'UUID Table'!$C$10:$C$201,'UUID Table'!$D$10:$D$201)</f>
        <v>2800</v>
      </c>
      <c r="D31" s="8" t="str">
        <f>UUIDLOOKUP(E31,'UUID Table'!$C$10:$C$201,'UUID Table'!$E$10:$E$201)</f>
        <v>0000280000001000800000805F9B34FB</v>
      </c>
      <c r="E31" s="67" t="s">
        <v>376</v>
      </c>
      <c r="F31" s="8"/>
      <c r="G31" s="8"/>
      <c r="H31" s="8" t="s">
        <v>22</v>
      </c>
      <c r="I31" s="8" t="s">
        <v>23</v>
      </c>
      <c r="J31" s="8" t="s">
        <v>23</v>
      </c>
      <c r="K31" s="8" t="s">
        <v>23</v>
      </c>
      <c r="L31" s="10" t="str">
        <f>"{Service=0x"&amp;TEXT('UUID Table'!$D$145,"0000")&amp;" (""Service B.4"")}"</f>
        <v>{Service=0xA00B ("Service B.4")}</v>
      </c>
      <c r="M31" s="10"/>
    </row>
    <row r="32" spans="1:13" x14ac:dyDescent="0.2">
      <c r="A32" s="35">
        <f>A31+1</f>
        <v>49</v>
      </c>
      <c r="B32" s="5" t="str">
        <f t="shared" si="0"/>
        <v>0031</v>
      </c>
      <c r="C32" s="5" t="str">
        <f>UUIDLOOKUP(F32,'UUID Table'!$C$10:$C$201,'UUID Table'!$D$10:$D$201)</f>
        <v>2803</v>
      </c>
      <c r="D32" s="5" t="str">
        <f>UUIDLOOKUP(F32,'UUID Table'!$C$10:$C$201,'UUID Table'!$E$10:$E$201)</f>
        <v>0000280300001000800000805F9B34FB</v>
      </c>
      <c r="E32" s="6" t="s">
        <v>1</v>
      </c>
      <c r="F32" s="6" t="s">
        <v>32</v>
      </c>
      <c r="G32" s="6"/>
      <c r="H32" s="30" t="s">
        <v>22</v>
      </c>
      <c r="I32" s="30" t="s">
        <v>23</v>
      </c>
      <c r="J32" s="30" t="s">
        <v>23</v>
      </c>
      <c r="K32" s="30" t="s">
        <v>23</v>
      </c>
      <c r="L32" s="7" t="str">
        <f>"{properties=0x08, handle=0x"&amp;TEXT(B33,"0000")&amp;", UUID=0x"&amp;TEXT(C33,"0000")&amp;"}"</f>
        <v>{properties=0x08, handle=0x0032, UUID=0xB007}</v>
      </c>
      <c r="M32" s="7"/>
    </row>
    <row r="33" spans="1:14" x14ac:dyDescent="0.2">
      <c r="A33" s="26">
        <f>A32+1</f>
        <v>50</v>
      </c>
      <c r="B33" s="1" t="str">
        <f t="shared" si="0"/>
        <v>0032</v>
      </c>
      <c r="C33" s="13" t="str">
        <f>UUIDLOOKUP(G33,'UUID Table'!$C$10:$C$201,'UUID Table'!$D$10:$D$201)</f>
        <v>B007</v>
      </c>
      <c r="D33" s="13" t="str">
        <f>UUIDLOOKUP(G33,'UUID Table'!$C$10:$C$201,'UUID Table'!$E$10:$E$201)</f>
        <v>0000B00700001000800000805F9B34FB</v>
      </c>
      <c r="G33" s="42" t="s">
        <v>387</v>
      </c>
      <c r="H33" s="71" t="s">
        <v>23</v>
      </c>
      <c r="I33" s="71" t="s">
        <v>22</v>
      </c>
      <c r="J33" s="71" t="s">
        <v>23</v>
      </c>
      <c r="K33" s="1" t="s">
        <v>23</v>
      </c>
      <c r="L33" s="69" t="s">
        <v>418</v>
      </c>
    </row>
    <row r="34" spans="1:14" x14ac:dyDescent="0.2">
      <c r="A34" s="40">
        <v>64</v>
      </c>
      <c r="B34" s="8" t="str">
        <f t="shared" ref="B34:B71" si="3">DEC2HEX(A34,4)</f>
        <v>0040</v>
      </c>
      <c r="C34" s="8" t="str">
        <f>UUIDLOOKUP(E34,'UUID Table'!$C$10:$C$201,'UUID Table'!$D$10:$D$201)</f>
        <v>2801</v>
      </c>
      <c r="D34" s="8" t="str">
        <f>UUIDLOOKUP(E34,'UUID Table'!$C$10:$C$201,'UUID Table'!$E$10:$E$201)</f>
        <v>0000280100001000800000805F9B34FB</v>
      </c>
      <c r="E34" s="67" t="s">
        <v>377</v>
      </c>
      <c r="F34" s="8"/>
      <c r="G34" s="8"/>
      <c r="H34" s="8" t="s">
        <v>22</v>
      </c>
      <c r="I34" s="8" t="s">
        <v>23</v>
      </c>
      <c r="J34" s="8" t="s">
        <v>23</v>
      </c>
      <c r="K34" s="8" t="s">
        <v>23</v>
      </c>
      <c r="L34" s="10" t="str">
        <f>"{Service=0x"&amp;TEXT('UUID Table'!$D$160,"0000")&amp;" (""Service D"")}"</f>
        <v>{Service=0xA00D ("Service D")}</v>
      </c>
      <c r="M34" s="10"/>
    </row>
    <row r="35" spans="1:14" x14ac:dyDescent="0.2">
      <c r="A35" s="104">
        <f>A34+1</f>
        <v>65</v>
      </c>
      <c r="B35" s="105" t="str">
        <f>DEC2HEX(A35,4)</f>
        <v>0041</v>
      </c>
      <c r="C35" s="105" t="str">
        <f>UUIDLOOKUP(G35,'UUID Table'!$C$10:$C$201,'UUID Table'!$D$10:$D$201)</f>
        <v>2802</v>
      </c>
      <c r="D35" s="105"/>
      <c r="E35" s="106"/>
      <c r="F35" s="105"/>
      <c r="G35" s="107" t="s">
        <v>348</v>
      </c>
      <c r="H35" s="108" t="s">
        <v>22</v>
      </c>
      <c r="I35" s="108" t="s">
        <v>23</v>
      </c>
      <c r="J35" s="108" t="s">
        <v>23</v>
      </c>
      <c r="K35" s="108" t="s">
        <v>23</v>
      </c>
      <c r="L35" s="109" t="str">
        <f>"{handle=0x"&amp;TEXT(B40,"0000")&amp;", end group handle=0x"&amp;TEXT(B42,"0000")&amp;", UUID=0x"&amp;TEXT('UUID Table'!$D$145,"0000")&amp;"}"</f>
        <v>{handle=0x0050, end group handle=0x0052, UUID=0xA00B}</v>
      </c>
      <c r="M35" s="103"/>
    </row>
    <row r="36" spans="1:14" x14ac:dyDescent="0.2">
      <c r="A36" s="35">
        <f>A35+1</f>
        <v>66</v>
      </c>
      <c r="B36" s="5" t="str">
        <f>DEC2HEX(A36,4)</f>
        <v>0042</v>
      </c>
      <c r="C36" s="5" t="str">
        <f>UUIDLOOKUP(F36,'UUID Table'!$C$10:$C$201,'UUID Table'!$D$10:$D$201)</f>
        <v>2803</v>
      </c>
      <c r="D36" s="5" t="str">
        <f>UUIDLOOKUP(F36,'UUID Table'!$C$10:$C$201,'UUID Table'!$E$10:$E$201)</f>
        <v>0000280300001000800000805F9B34FB</v>
      </c>
      <c r="E36" s="6" t="s">
        <v>1</v>
      </c>
      <c r="F36" s="6" t="s">
        <v>32</v>
      </c>
      <c r="G36" s="6"/>
      <c r="H36" s="30" t="s">
        <v>22</v>
      </c>
      <c r="I36" s="30" t="s">
        <v>23</v>
      </c>
      <c r="J36" s="30" t="s">
        <v>23</v>
      </c>
      <c r="K36" s="30" t="s">
        <v>23</v>
      </c>
      <c r="L36" s="7" t="str">
        <f>"{properties=0x02, handle=0x"&amp;TEXT(B37,"0000")&amp;", UUID=0x"&amp;TEXT(C37,"0000")&amp;"}"</f>
        <v>{properties=0x02, handle=0x0043, UUID=0x0000B00B000000000123456789ABCDEF}</v>
      </c>
      <c r="M36" s="7"/>
    </row>
    <row r="37" spans="1:14" x14ac:dyDescent="0.2">
      <c r="A37" s="26">
        <f>A36+1</f>
        <v>67</v>
      </c>
      <c r="B37" s="1" t="str">
        <f>DEC2HEX(A37,4)</f>
        <v>0043</v>
      </c>
      <c r="C37" s="13" t="str">
        <f>UUIDLOOKUP(G37,'UUID Table'!$C$10:$C$201,'UUID Table'!$E$10:$E$201)</f>
        <v>0000B00B000000000123456789ABCDEF</v>
      </c>
      <c r="D37" s="13" t="str">
        <f>UUIDLOOKUP(G37,'UUID Table'!$C$10:$C$201,'UUID Table'!$E$10:$E$201)</f>
        <v>0000B00B000000000123456789ABCDEF</v>
      </c>
      <c r="G37" s="42" t="s">
        <v>398</v>
      </c>
      <c r="H37" s="1" t="s">
        <v>22</v>
      </c>
      <c r="I37" s="71" t="s">
        <v>23</v>
      </c>
      <c r="J37" s="71" t="s">
        <v>23</v>
      </c>
      <c r="K37" s="1" t="s">
        <v>23</v>
      </c>
      <c r="L37" s="69" t="s">
        <v>429</v>
      </c>
    </row>
    <row r="38" spans="1:14" x14ac:dyDescent="0.2">
      <c r="A38" s="35">
        <f>A37+1</f>
        <v>68</v>
      </c>
      <c r="B38" s="5" t="str">
        <f t="shared" si="3"/>
        <v>0044</v>
      </c>
      <c r="C38" s="5" t="str">
        <f>UUIDLOOKUP(F38,'UUID Table'!$C$10:$C$201,'UUID Table'!$D$10:$D$201)</f>
        <v>2803</v>
      </c>
      <c r="D38" s="5" t="str">
        <f>UUIDLOOKUP(F38,'UUID Table'!$C$10:$C$201,'UUID Table'!$E$10:$E$201)</f>
        <v>0000280300001000800000805F9B34FB</v>
      </c>
      <c r="E38" s="6" t="s">
        <v>1</v>
      </c>
      <c r="F38" s="6" t="s">
        <v>32</v>
      </c>
      <c r="G38" s="6"/>
      <c r="H38" s="30" t="s">
        <v>22</v>
      </c>
      <c r="I38" s="30" t="s">
        <v>23</v>
      </c>
      <c r="J38" s="30" t="s">
        <v>23</v>
      </c>
      <c r="K38" s="30" t="s">
        <v>23</v>
      </c>
      <c r="L38" s="7" t="str">
        <f>"{properties=0x02, handle=0x"&amp;TEXT(B39,"0000")&amp;", UUID=0x"&amp;TEXT(C39,"0000")&amp;"}"</f>
        <v>{properties=0x02, handle=0x0045, UUID=0xB00C}</v>
      </c>
      <c r="M38" s="7"/>
    </row>
    <row r="39" spans="1:14" x14ac:dyDescent="0.2">
      <c r="A39" s="26">
        <f>A38+1</f>
        <v>69</v>
      </c>
      <c r="B39" s="1" t="str">
        <f t="shared" si="3"/>
        <v>0045</v>
      </c>
      <c r="C39" s="13" t="str">
        <f>UUIDLOOKUP(G39,'UUID Table'!$C$10:$C$201,'UUID Table'!$D$10:$D$201)</f>
        <v>B00C</v>
      </c>
      <c r="D39" s="13" t="str">
        <f>UUIDLOOKUP(G39,'UUID Table'!$C$10:$C$201,'UUID Table'!$E$10:$E$201)</f>
        <v>0000B00C00001000800000805F9B34FB</v>
      </c>
      <c r="G39" s="42" t="s">
        <v>402</v>
      </c>
      <c r="H39" s="1" t="s">
        <v>22</v>
      </c>
      <c r="I39" s="1" t="s">
        <v>23</v>
      </c>
      <c r="J39" s="1" t="s">
        <v>23</v>
      </c>
      <c r="K39" s="1" t="s">
        <v>23</v>
      </c>
      <c r="L39" s="69" t="s">
        <v>430</v>
      </c>
      <c r="M39" s="68"/>
    </row>
    <row r="40" spans="1:14" x14ac:dyDescent="0.2">
      <c r="A40" s="40">
        <v>80</v>
      </c>
      <c r="B40" s="8" t="str">
        <f t="shared" ref="B40:B51" si="4">DEC2HEX(A40,4)</f>
        <v>0050</v>
      </c>
      <c r="C40" s="8" t="str">
        <f>UUIDLOOKUP(E40,'UUID Table'!$C$10:$C$201,'UUID Table'!$D$10:$D$201)</f>
        <v>2800</v>
      </c>
      <c r="D40" s="8" t="str">
        <f>UUIDLOOKUP(E40,'UUID Table'!$C$10:$C$201,'UUID Table'!$E$10:$E$201)</f>
        <v>0000280000001000800000805F9B34FB</v>
      </c>
      <c r="E40" s="67" t="s">
        <v>376</v>
      </c>
      <c r="F40" s="8"/>
      <c r="G40" s="8"/>
      <c r="H40" s="8" t="s">
        <v>22</v>
      </c>
      <c r="I40" s="8" t="s">
        <v>23</v>
      </c>
      <c r="J40" s="8" t="s">
        <v>23</v>
      </c>
      <c r="K40" s="8" t="s">
        <v>23</v>
      </c>
      <c r="L40" s="10" t="str">
        <f>"{Service=0x"&amp;TEXT('UUID Table'!$D$145,"0000")&amp;" (""Service B.1"")}"</f>
        <v>{Service=0xA00B ("Service B.1")}</v>
      </c>
      <c r="M40" s="10"/>
    </row>
    <row r="41" spans="1:14" x14ac:dyDescent="0.2">
      <c r="A41" s="35">
        <f>A40+1</f>
        <v>81</v>
      </c>
      <c r="B41" s="5" t="str">
        <f t="shared" si="4"/>
        <v>0051</v>
      </c>
      <c r="C41" s="5" t="str">
        <f>UUIDLOOKUP(F41,'UUID Table'!$C$10:$C$201,'UUID Table'!$D$10:$D$201)</f>
        <v>2803</v>
      </c>
      <c r="D41" s="5" t="str">
        <f>UUIDLOOKUP(F41,'UUID Table'!$C$10:$C$201,'UUID Table'!$E$10:$E$201)</f>
        <v>0000280300001000800000805F9B34FB</v>
      </c>
      <c r="E41" s="6" t="s">
        <v>1</v>
      </c>
      <c r="F41" s="6" t="s">
        <v>32</v>
      </c>
      <c r="G41" s="6"/>
      <c r="H41" s="30" t="s">
        <v>22</v>
      </c>
      <c r="I41" s="30" t="s">
        <v>23</v>
      </c>
      <c r="J41" s="30" t="s">
        <v>23</v>
      </c>
      <c r="K41" s="30" t="s">
        <v>23</v>
      </c>
      <c r="L41" s="7" t="str">
        <f>"{properties=0x0A, handle=0x"&amp;TEXT(B42,"0000")&amp;", UUID=0x"&amp;TEXT(C42,"0000")&amp;"}"</f>
        <v>{properties=0x0A, handle=0x0052, UUID=0xB004}</v>
      </c>
      <c r="M41" s="7"/>
    </row>
    <row r="42" spans="1:14" x14ac:dyDescent="0.2">
      <c r="A42" s="26">
        <f>A41+1</f>
        <v>82</v>
      </c>
      <c r="B42" s="1" t="str">
        <f t="shared" si="4"/>
        <v>0052</v>
      </c>
      <c r="C42" s="13" t="str">
        <f>UUIDLOOKUP(G42,'UUID Table'!$C$10:$C$201,'UUID Table'!$D$10:$D$201)</f>
        <v>B004</v>
      </c>
      <c r="D42" s="13" t="str">
        <f>UUIDLOOKUP(G42,'UUID Table'!$C$10:$C$201,'UUID Table'!$E$10:$E$201)</f>
        <v>0000B00400001000800000805F9B34FB</v>
      </c>
      <c r="G42" s="42" t="s">
        <v>401</v>
      </c>
      <c r="H42" s="1" t="s">
        <v>22</v>
      </c>
      <c r="I42" s="71" t="s">
        <v>22</v>
      </c>
      <c r="J42" s="71" t="s">
        <v>23</v>
      </c>
      <c r="K42" s="1" t="s">
        <v>23</v>
      </c>
      <c r="L42" s="36" t="s">
        <v>350</v>
      </c>
    </row>
    <row r="43" spans="1:14" x14ac:dyDescent="0.2">
      <c r="A43" s="40">
        <v>96</v>
      </c>
      <c r="B43" s="8" t="str">
        <f t="shared" si="4"/>
        <v>0060</v>
      </c>
      <c r="C43" s="8" t="str">
        <f>UUIDLOOKUP(E43,'UUID Table'!$C$10:$C$201,'UUID Table'!$D$10:$D$201)</f>
        <v>2800</v>
      </c>
      <c r="D43" s="8" t="str">
        <f>UUIDLOOKUP(E43,'UUID Table'!$C$10:$C$201,'UUID Table'!$E$10:$E$201)</f>
        <v>0000280000001000800000805F9B34FB</v>
      </c>
      <c r="E43" s="67" t="s">
        <v>376</v>
      </c>
      <c r="F43" s="8"/>
      <c r="G43" s="8"/>
      <c r="H43" s="8" t="s">
        <v>22</v>
      </c>
      <c r="I43" s="8" t="s">
        <v>23</v>
      </c>
      <c r="J43" s="8" t="s">
        <v>23</v>
      </c>
      <c r="K43" s="8" t="s">
        <v>23</v>
      </c>
      <c r="L43" s="10" t="str">
        <f>"{Service=0x"&amp;TEXT('UUID Table'!$D$138,"0000")&amp;" (""Service A"")}"</f>
        <v>{Service=0xA00A ("Service A")}</v>
      </c>
      <c r="M43" s="10"/>
    </row>
    <row r="44" spans="1:14" x14ac:dyDescent="0.2">
      <c r="A44" s="104">
        <f>A43+1</f>
        <v>97</v>
      </c>
      <c r="B44" s="105" t="str">
        <f>DEC2HEX(A44,4)</f>
        <v>0061</v>
      </c>
      <c r="C44" s="105" t="str">
        <f>UUIDLOOKUP(G44,'UUID Table'!$C$10:$C$201,'UUID Table'!$D$10:$D$201)</f>
        <v>2802</v>
      </c>
      <c r="D44" s="105"/>
      <c r="E44" s="106"/>
      <c r="F44" s="105"/>
      <c r="G44" s="107" t="s">
        <v>348</v>
      </c>
      <c r="H44" s="108" t="s">
        <v>22</v>
      </c>
      <c r="I44" s="108" t="s">
        <v>23</v>
      </c>
      <c r="J44" s="108" t="s">
        <v>23</v>
      </c>
      <c r="K44" s="108" t="s">
        <v>23</v>
      </c>
      <c r="L44" s="109" t="str">
        <f>"{handle=0x"&amp;TEXT(B34,"0000")&amp;", end group handle=0x"&amp;TEXT(B39,"0000")&amp;", UUID=0x"&amp;TEXT('UUID Table'!$D$160,"0000")&amp;"}"</f>
        <v>{handle=0x0040, end group handle=0x0045, UUID=0xA00D}</v>
      </c>
      <c r="M44" s="103"/>
    </row>
    <row r="45" spans="1:14" s="23" customFormat="1" x14ac:dyDescent="0.2">
      <c r="A45" s="54">
        <f>A44+1</f>
        <v>98</v>
      </c>
      <c r="B45" s="1" t="str">
        <f t="shared" si="4"/>
        <v>0062</v>
      </c>
      <c r="C45" s="13" t="str">
        <f>UUIDLOOKUP(G45,'UUID Table'!$C$10:$C$201,'UUID Table'!$D$10:$D$201)</f>
        <v>2802</v>
      </c>
      <c r="D45" s="13"/>
      <c r="F45" s="13"/>
      <c r="G45" s="102" t="s">
        <v>348</v>
      </c>
      <c r="H45" s="13" t="s">
        <v>22</v>
      </c>
      <c r="I45" s="13" t="s">
        <v>23</v>
      </c>
      <c r="J45" s="13" t="s">
        <v>23</v>
      </c>
      <c r="K45" s="13" t="s">
        <v>23</v>
      </c>
      <c r="L45" s="55" t="str">
        <f>"{handle=0x"&amp;TEXT(B24,"0000")&amp;", end group handle=0x"&amp;TEXT(B30,"0000")&amp;"}"</f>
        <v>{handle=0x0020, end group handle=0x0026}</v>
      </c>
      <c r="M45" s="74" t="s">
        <v>427</v>
      </c>
      <c r="N45" s="3"/>
    </row>
    <row r="46" spans="1:14" x14ac:dyDescent="0.2">
      <c r="A46" s="35">
        <f t="shared" ref="A46:A51" si="5">A45+1</f>
        <v>99</v>
      </c>
      <c r="B46" s="5" t="str">
        <f t="shared" si="4"/>
        <v>0063</v>
      </c>
      <c r="C46" s="5" t="str">
        <f>UUIDLOOKUP(F46,'UUID Table'!$C$10:$C$201,'UUID Table'!$D$10:$D$201)</f>
        <v>2803</v>
      </c>
      <c r="D46" s="5" t="str">
        <f>UUIDLOOKUP(F46,'UUID Table'!$C$10:$C$201,'UUID Table'!$E$10:$E$201)</f>
        <v>0000280300001000800000805F9B34FB</v>
      </c>
      <c r="E46" s="6" t="s">
        <v>1</v>
      </c>
      <c r="F46" s="6" t="s">
        <v>32</v>
      </c>
      <c r="G46" s="6"/>
      <c r="H46" s="30" t="s">
        <v>22</v>
      </c>
      <c r="I46" s="30" t="s">
        <v>23</v>
      </c>
      <c r="J46" s="30" t="s">
        <v>23</v>
      </c>
      <c r="K46" s="30" t="s">
        <v>23</v>
      </c>
      <c r="L46" s="7" t="str">
        <f>"{properties=0x02, handle=0x"&amp;TEXT(B47,"0000")&amp;", UUID=0x"&amp;TEXT(C47,"0000")&amp;"}"</f>
        <v>{properties=0x02, handle=0x0064, UUID=0xB001}</v>
      </c>
      <c r="M46" s="7"/>
    </row>
    <row r="47" spans="1:14" x14ac:dyDescent="0.2">
      <c r="A47" s="26">
        <f t="shared" si="5"/>
        <v>100</v>
      </c>
      <c r="B47" s="1" t="str">
        <f t="shared" si="4"/>
        <v>0064</v>
      </c>
      <c r="C47" s="13" t="str">
        <f>UUIDLOOKUP(G47,'UUID Table'!$C$10:$C$201,'UUID Table'!$D$10:$D$201)</f>
        <v>B001</v>
      </c>
      <c r="D47" s="13" t="str">
        <f>UUIDLOOKUP(G47,'UUID Table'!$C$10:$C$201,'UUID Table'!$E$10:$E$201)</f>
        <v>0000B00100001000800000805F9B34FB</v>
      </c>
      <c r="G47" s="42" t="s">
        <v>381</v>
      </c>
      <c r="H47" s="1" t="s">
        <v>22</v>
      </c>
      <c r="I47" s="1" t="s">
        <v>23</v>
      </c>
      <c r="J47" s="1" t="s">
        <v>23</v>
      </c>
      <c r="K47" s="1" t="s">
        <v>23</v>
      </c>
      <c r="L47" s="69" t="s">
        <v>407</v>
      </c>
    </row>
    <row r="48" spans="1:14" x14ac:dyDescent="0.2">
      <c r="A48" s="35">
        <f t="shared" si="5"/>
        <v>101</v>
      </c>
      <c r="B48" s="5" t="str">
        <f t="shared" si="4"/>
        <v>0065</v>
      </c>
      <c r="C48" s="5" t="str">
        <f>UUIDLOOKUP(F48,'UUID Table'!$C$10:$C$201,'UUID Table'!$D$10:$D$201)</f>
        <v>2803</v>
      </c>
      <c r="D48" s="5" t="str">
        <f>UUIDLOOKUP(F48,'UUID Table'!$C$10:$C$201,'UUID Table'!$E$10:$E$201)</f>
        <v>0000280300001000800000805F9B34FB</v>
      </c>
      <c r="E48" s="6" t="s">
        <v>1</v>
      </c>
      <c r="F48" s="6" t="s">
        <v>32</v>
      </c>
      <c r="G48" s="6"/>
      <c r="H48" s="30" t="s">
        <v>22</v>
      </c>
      <c r="I48" s="30" t="s">
        <v>23</v>
      </c>
      <c r="J48" s="30" t="s">
        <v>23</v>
      </c>
      <c r="K48" s="30" t="s">
        <v>23</v>
      </c>
      <c r="L48" s="7" t="str">
        <f>"{properties=0x0A, handle=0x"&amp;TEXT(B49,"0000")&amp;", UUID=0x"&amp;TEXT(C49,"0000")&amp;"}"</f>
        <v>{properties=0x0A, handle=0x0066, UUID=0xB002}</v>
      </c>
      <c r="M48" s="7"/>
    </row>
    <row r="49" spans="1:13" x14ac:dyDescent="0.2">
      <c r="A49" s="26">
        <f t="shared" si="5"/>
        <v>102</v>
      </c>
      <c r="B49" s="1" t="str">
        <f t="shared" si="4"/>
        <v>0066</v>
      </c>
      <c r="C49" s="13" t="str">
        <f>UUIDLOOKUP(G49,'UUID Table'!$C$10:$C$201,'UUID Table'!$D$10:$D$201)</f>
        <v>B002</v>
      </c>
      <c r="D49" s="13" t="str">
        <f>UUIDLOOKUP(G49,'UUID Table'!$C$10:$C$201,'UUID Table'!$E$10:$E$201)</f>
        <v>0000B00200001000800000805F9B34FB</v>
      </c>
      <c r="G49" s="42" t="s">
        <v>382</v>
      </c>
      <c r="H49" s="1" t="s">
        <v>22</v>
      </c>
      <c r="I49" s="71" t="s">
        <v>22</v>
      </c>
      <c r="J49" s="71" t="s">
        <v>23</v>
      </c>
      <c r="K49" s="1" t="s">
        <v>23</v>
      </c>
      <c r="L49" s="69" t="s">
        <v>408</v>
      </c>
      <c r="M49" s="68" t="s">
        <v>409</v>
      </c>
    </row>
    <row r="50" spans="1:13" x14ac:dyDescent="0.2">
      <c r="A50" s="35">
        <f t="shared" si="5"/>
        <v>103</v>
      </c>
      <c r="B50" s="5" t="str">
        <f t="shared" si="4"/>
        <v>0067</v>
      </c>
      <c r="C50" s="5" t="str">
        <f>UUIDLOOKUP(F50,'UUID Table'!$C$10:$C$201,'UUID Table'!$D$10:$D$201)</f>
        <v>2803</v>
      </c>
      <c r="D50" s="5" t="str">
        <f>UUIDLOOKUP(F50,'UUID Table'!$C$10:$C$201,'UUID Table'!$E$10:$E$201)</f>
        <v>0000280300001000800000805F9B34FB</v>
      </c>
      <c r="E50" s="6" t="s">
        <v>1</v>
      </c>
      <c r="F50" s="6" t="s">
        <v>32</v>
      </c>
      <c r="G50" s="6"/>
      <c r="H50" s="30" t="s">
        <v>22</v>
      </c>
      <c r="I50" s="30" t="s">
        <v>23</v>
      </c>
      <c r="J50" s="30" t="s">
        <v>23</v>
      </c>
      <c r="K50" s="30" t="s">
        <v>23</v>
      </c>
      <c r="L50" s="7" t="str">
        <f>"{properties=0x08, handle=0x"&amp;TEXT(B51,"0000")&amp;", UUID=0x"&amp;TEXT(C51,"0000")&amp;"}"</f>
        <v>{properties=0x08, handle=0x0068, UUID=0xB003}</v>
      </c>
      <c r="M50" s="7"/>
    </row>
    <row r="51" spans="1:13" x14ac:dyDescent="0.2">
      <c r="A51" s="26">
        <f t="shared" si="5"/>
        <v>104</v>
      </c>
      <c r="B51" s="1" t="str">
        <f t="shared" si="4"/>
        <v>0068</v>
      </c>
      <c r="C51" s="13" t="str">
        <f>UUIDLOOKUP(G51,'UUID Table'!$C$10:$C$201,'UUID Table'!$D$10:$D$201)</f>
        <v>B003</v>
      </c>
      <c r="D51" s="13" t="str">
        <f>UUIDLOOKUP(G51,'UUID Table'!$C$10:$C$201,'UUID Table'!$E$10:$E$201)</f>
        <v>0000B00300001000800000805F9B34FB</v>
      </c>
      <c r="G51" s="42" t="s">
        <v>383</v>
      </c>
      <c r="H51" s="71" t="s">
        <v>23</v>
      </c>
      <c r="I51" s="71" t="s">
        <v>22</v>
      </c>
      <c r="J51" s="71" t="s">
        <v>23</v>
      </c>
      <c r="K51" s="1" t="s">
        <v>23</v>
      </c>
      <c r="L51" s="69" t="s">
        <v>410</v>
      </c>
    </row>
    <row r="52" spans="1:13" x14ac:dyDescent="0.2">
      <c r="A52" s="40">
        <v>112</v>
      </c>
      <c r="B52" s="8" t="str">
        <f t="shared" si="3"/>
        <v>0070</v>
      </c>
      <c r="C52" s="8" t="str">
        <f>UUIDLOOKUP(E52,'UUID Table'!$C$10:$C$201,'UUID Table'!$D$10:$D$201)</f>
        <v>2800</v>
      </c>
      <c r="D52" s="8" t="str">
        <f>UUIDLOOKUP(E52,'UUID Table'!$C$10:$C$201,'UUID Table'!$E$10:$E$201)</f>
        <v>0000280000001000800000805F9B34FB</v>
      </c>
      <c r="E52" s="67" t="s">
        <v>376</v>
      </c>
      <c r="F52" s="8"/>
      <c r="G52" s="8"/>
      <c r="H52" s="8" t="s">
        <v>22</v>
      </c>
      <c r="I52" s="8" t="s">
        <v>23</v>
      </c>
      <c r="J52" s="8" t="s">
        <v>23</v>
      </c>
      <c r="K52" s="8" t="s">
        <v>23</v>
      </c>
      <c r="L52" s="10" t="str">
        <f>"{Service=0x"&amp;TEXT('UUID Table'!$D$145,"0000")&amp;" (""Service B.3"")}"</f>
        <v>{Service=0xA00B ("Service B.3")}</v>
      </c>
      <c r="M52" s="10"/>
    </row>
    <row r="53" spans="1:13" x14ac:dyDescent="0.2">
      <c r="A53" s="35">
        <f>A52+1</f>
        <v>113</v>
      </c>
      <c r="B53" s="5" t="str">
        <f t="shared" si="3"/>
        <v>0071</v>
      </c>
      <c r="C53" s="5" t="str">
        <f>UUIDLOOKUP(F53,'UUID Table'!$C$10:$C$201,'UUID Table'!$D$10:$D$201)</f>
        <v>2803</v>
      </c>
      <c r="D53" s="5" t="str">
        <f>UUIDLOOKUP(F53,'UUID Table'!$C$10:$C$201,'UUID Table'!$E$10:$E$201)</f>
        <v>0000280300001000800000805F9B34FB</v>
      </c>
      <c r="E53" s="6" t="s">
        <v>1</v>
      </c>
      <c r="F53" s="6" t="s">
        <v>32</v>
      </c>
      <c r="G53" s="6"/>
      <c r="H53" s="30" t="s">
        <v>22</v>
      </c>
      <c r="I53" s="30" t="s">
        <v>23</v>
      </c>
      <c r="J53" s="30" t="s">
        <v>23</v>
      </c>
      <c r="K53" s="30" t="s">
        <v>23</v>
      </c>
      <c r="L53" s="7" t="str">
        <f>"{properties=0x3E, handle=0x"&amp;TEXT(B54,"0000")&amp;", UUID=0x"&amp;TEXT(C54,"0000")&amp;"}"</f>
        <v>{properties=0x3E, handle=0x0072, UUID=0xB006}</v>
      </c>
      <c r="M53" s="7" t="s">
        <v>420</v>
      </c>
    </row>
    <row r="54" spans="1:13" x14ac:dyDescent="0.2">
      <c r="A54" s="26">
        <f>A53+1</f>
        <v>114</v>
      </c>
      <c r="B54" s="1" t="str">
        <f t="shared" si="3"/>
        <v>0072</v>
      </c>
      <c r="C54" s="13" t="str">
        <f>UUIDLOOKUP(G54,'UUID Table'!$C$10:$C$201,'UUID Table'!$D$10:$D$201)</f>
        <v>B006</v>
      </c>
      <c r="D54" s="13" t="str">
        <f>UUIDLOOKUP(G54,'UUID Table'!$C$10:$C$201,'UUID Table'!$E$10:$E$201)</f>
        <v>0000B00600001000800000805F9B34FB</v>
      </c>
      <c r="G54" s="42" t="s">
        <v>386</v>
      </c>
      <c r="H54" s="1" t="s">
        <v>22</v>
      </c>
      <c r="I54" s="71" t="s">
        <v>22</v>
      </c>
      <c r="J54" s="71" t="s">
        <v>22</v>
      </c>
      <c r="K54" s="71" t="s">
        <v>22</v>
      </c>
      <c r="L54" s="69" t="s">
        <v>417</v>
      </c>
    </row>
    <row r="55" spans="1:13" x14ac:dyDescent="0.2">
      <c r="A55" s="40">
        <v>128</v>
      </c>
      <c r="B55" s="8" t="str">
        <f t="shared" si="3"/>
        <v>0080</v>
      </c>
      <c r="C55" s="8" t="str">
        <f>UUIDLOOKUP(E55,'UUID Table'!$C$10:$C$201,'UUID Table'!$D$10:$D$201)</f>
        <v>2800</v>
      </c>
      <c r="D55" s="8" t="str">
        <f>UUIDLOOKUP(E55,'UUID Table'!$C$10:$C$201,'UUID Table'!$E$10:$E$201)</f>
        <v>0000280000001000800000805F9B34FB</v>
      </c>
      <c r="E55" s="67" t="s">
        <v>376</v>
      </c>
      <c r="F55" s="9"/>
      <c r="G55" s="9"/>
      <c r="H55" s="29" t="s">
        <v>22</v>
      </c>
      <c r="I55" s="29" t="s">
        <v>23</v>
      </c>
      <c r="J55" s="29" t="s">
        <v>23</v>
      </c>
      <c r="K55" s="29" t="s">
        <v>23</v>
      </c>
      <c r="L55" s="10" t="str">
        <f>"{Service=0x"&amp;TEXT('UUID Table'!$D$132,"0000")&amp;" (""Generic Access Profile"")}"</f>
        <v>{Service=0x1800 ("Generic Access Profile")}</v>
      </c>
      <c r="M55" s="10"/>
    </row>
    <row r="56" spans="1:13" x14ac:dyDescent="0.2">
      <c r="A56" s="34">
        <f t="shared" ref="A56:A61" si="6">A55+1</f>
        <v>129</v>
      </c>
      <c r="B56" s="5" t="str">
        <f t="shared" si="3"/>
        <v>0081</v>
      </c>
      <c r="C56" s="5" t="str">
        <f>UUIDLOOKUP(F56,'UUID Table'!$C$10:$C$201,'UUID Table'!$D$10:$D$201)</f>
        <v>2803</v>
      </c>
      <c r="D56" s="5" t="str">
        <f>UUIDLOOKUP(F56,'UUID Table'!$C$10:$C$201,'UUID Table'!$E$10:$E$201)</f>
        <v>0000280300001000800000805F9B34FB</v>
      </c>
      <c r="E56" s="6"/>
      <c r="F56" s="6" t="s">
        <v>32</v>
      </c>
      <c r="G56" s="6"/>
      <c r="H56" s="30" t="s">
        <v>22</v>
      </c>
      <c r="I56" s="30" t="s">
        <v>23</v>
      </c>
      <c r="J56" s="30" t="s">
        <v>23</v>
      </c>
      <c r="K56" s="30" t="s">
        <v>23</v>
      </c>
      <c r="L56" s="7" t="str">
        <f>"{properties=0x02, handle=0x"&amp;TEXT(B57,"0000")&amp;", UUID=0x"&amp;TEXT(C57,"0000")&amp;"}"</f>
        <v>{properties=0x02, handle=0x0082, UUID=0x2A00}</v>
      </c>
      <c r="M56" s="7"/>
    </row>
    <row r="57" spans="1:13" x14ac:dyDescent="0.2">
      <c r="A57" s="26">
        <f t="shared" si="6"/>
        <v>130</v>
      </c>
      <c r="B57" s="1" t="str">
        <f t="shared" si="3"/>
        <v>0082</v>
      </c>
      <c r="C57" s="13" t="str">
        <f>UUIDLOOKUP(G57,'UUID Table'!$C$10:$C$201,'UUID Table'!$D$10:$D$201)</f>
        <v>2A00</v>
      </c>
      <c r="D57" s="13" t="str">
        <f>UUIDLOOKUP(G57,'UUID Table'!$C$10:$C$201,'UUID Table'!$E$10:$E$201)</f>
        <v>00002A0000001000800000805F9B34FB</v>
      </c>
      <c r="E57" s="23"/>
      <c r="F57" s="23"/>
      <c r="G57" s="42" t="s">
        <v>2</v>
      </c>
      <c r="H57" s="1" t="s">
        <v>22</v>
      </c>
      <c r="I57" s="1" t="s">
        <v>23</v>
      </c>
      <c r="J57" s="1" t="s">
        <v>23</v>
      </c>
      <c r="K57" s="1" t="s">
        <v>23</v>
      </c>
      <c r="L57" s="65" t="s">
        <v>486</v>
      </c>
    </row>
    <row r="58" spans="1:13" x14ac:dyDescent="0.2">
      <c r="A58" s="34">
        <f t="shared" si="6"/>
        <v>131</v>
      </c>
      <c r="B58" s="5" t="str">
        <f t="shared" si="3"/>
        <v>0083</v>
      </c>
      <c r="C58" s="5" t="str">
        <f>UUIDLOOKUP(F58,'UUID Table'!$C$10:$C$201,'UUID Table'!$D$10:$D$201)</f>
        <v>2803</v>
      </c>
      <c r="D58" s="5"/>
      <c r="E58" s="6"/>
      <c r="F58" s="6" t="s">
        <v>32</v>
      </c>
      <c r="G58" s="6"/>
      <c r="H58" s="30" t="s">
        <v>22</v>
      </c>
      <c r="I58" s="30" t="s">
        <v>23</v>
      </c>
      <c r="J58" s="30" t="s">
        <v>23</v>
      </c>
      <c r="K58" s="30" t="s">
        <v>23</v>
      </c>
      <c r="L58" s="7" t="str">
        <f>"{properties=0x02, handle=0x"&amp;TEXT(B59,"0000")&amp;", UUID=0x"&amp;TEXT(C59,"0000")&amp;"}"</f>
        <v>{properties=0x02, handle=0x0084, UUID=0x2A01}</v>
      </c>
      <c r="M58" s="7"/>
    </row>
    <row r="59" spans="1:13" x14ac:dyDescent="0.2">
      <c r="A59" s="26">
        <f t="shared" si="6"/>
        <v>132</v>
      </c>
      <c r="B59" s="1" t="str">
        <f t="shared" si="3"/>
        <v>0084</v>
      </c>
      <c r="C59" s="13" t="str">
        <f>UUIDLOOKUP(G59,'UUID Table'!$C$10:$C$201,'UUID Table'!$D$10:$D$201)</f>
        <v>2A01</v>
      </c>
      <c r="D59" s="13" t="str">
        <f>UUIDLOOKUP(G59,'UUID Table'!$C$10:$C$201,'UUID Table'!$E$10:$E$201)</f>
        <v>00002A0100001000800000805F9B34FB</v>
      </c>
      <c r="E59" s="23"/>
      <c r="F59" s="23"/>
      <c r="G59" s="42" t="s">
        <v>374</v>
      </c>
      <c r="H59" s="1" t="s">
        <v>22</v>
      </c>
      <c r="I59" s="1" t="s">
        <v>23</v>
      </c>
      <c r="J59" s="1" t="s">
        <v>23</v>
      </c>
      <c r="K59" s="1" t="s">
        <v>23</v>
      </c>
      <c r="L59" s="36">
        <v>17</v>
      </c>
    </row>
    <row r="60" spans="1:13" x14ac:dyDescent="0.2">
      <c r="A60" s="35">
        <f t="shared" si="6"/>
        <v>133</v>
      </c>
      <c r="B60" s="5" t="str">
        <f t="shared" si="3"/>
        <v>0085</v>
      </c>
      <c r="C60" s="5" t="str">
        <f>UUIDLOOKUP(F60,'UUID Table'!$C$10:$C$201,'UUID Table'!$D$10:$D$201)</f>
        <v>2803</v>
      </c>
      <c r="D60" s="5"/>
      <c r="E60" s="6"/>
      <c r="F60" s="6" t="s">
        <v>32</v>
      </c>
      <c r="G60" s="6"/>
      <c r="H60" s="30" t="s">
        <v>22</v>
      </c>
      <c r="I60" s="30" t="s">
        <v>23</v>
      </c>
      <c r="J60" s="30" t="s">
        <v>23</v>
      </c>
      <c r="K60" s="30" t="s">
        <v>23</v>
      </c>
      <c r="L60" s="7" t="str">
        <f>"{properties=0x02, handle=0x"&amp;TEXT(B61,"0000")&amp;", UUID=0x"&amp;TEXT(C61,"0000")&amp;"}"</f>
        <v>{properties=0x02, handle=0x0086, UUID=0x2A04}</v>
      </c>
      <c r="M60" s="7"/>
    </row>
    <row r="61" spans="1:13" ht="25.5" x14ac:dyDescent="0.2">
      <c r="A61" s="26">
        <f t="shared" si="6"/>
        <v>134</v>
      </c>
      <c r="B61" s="1" t="str">
        <f t="shared" si="3"/>
        <v>0086</v>
      </c>
      <c r="C61" s="13" t="str">
        <f>UUIDLOOKUP(G61,'UUID Table'!$C$10:$C$201,'UUID Table'!$D$10:$D$201)</f>
        <v>2A04</v>
      </c>
      <c r="D61" s="13" t="str">
        <f>UUIDLOOKUP(G61,'UUID Table'!$C$10:$C$201,'UUID Table'!$E$10:$E$201)</f>
        <v>00002A0400001000800000805F9B34FB</v>
      </c>
      <c r="E61" s="23"/>
      <c r="F61" s="23"/>
      <c r="G61" s="42" t="s">
        <v>375</v>
      </c>
      <c r="H61" s="1" t="s">
        <v>22</v>
      </c>
      <c r="I61" s="1" t="s">
        <v>23</v>
      </c>
      <c r="J61" s="1" t="s">
        <v>23</v>
      </c>
      <c r="K61" s="1" t="s">
        <v>23</v>
      </c>
      <c r="L61" s="69" t="s">
        <v>378</v>
      </c>
      <c r="M61" s="65"/>
    </row>
    <row r="62" spans="1:13" x14ac:dyDescent="0.2">
      <c r="A62" s="40">
        <v>144</v>
      </c>
      <c r="B62" s="8" t="str">
        <f t="shared" si="3"/>
        <v>0090</v>
      </c>
      <c r="C62" s="8" t="str">
        <f>UUIDLOOKUP(E62,'UUID Table'!$C$10:$C$201,'UUID Table'!$D$10:$D$201)</f>
        <v>2800</v>
      </c>
      <c r="D62" s="8" t="str">
        <f>UUIDLOOKUP(E62,'UUID Table'!$C$10:$C$201,'UUID Table'!$E$10:$E$201)</f>
        <v>0000280000001000800000805F9B34FB</v>
      </c>
      <c r="E62" s="67" t="s">
        <v>376</v>
      </c>
      <c r="F62" s="8"/>
      <c r="G62" s="8"/>
      <c r="H62" s="8" t="s">
        <v>22</v>
      </c>
      <c r="I62" s="8" t="s">
        <v>23</v>
      </c>
      <c r="J62" s="8" t="s">
        <v>23</v>
      </c>
      <c r="K62" s="8" t="s">
        <v>23</v>
      </c>
      <c r="L62" s="10" t="str">
        <f>"{Service=0x"&amp;TEXT('UUID Table'!$D$145,"0000")&amp;" (""Service B.2"")}"</f>
        <v>{Service=0xA00B ("Service B.2")}</v>
      </c>
      <c r="M62" s="10"/>
    </row>
    <row r="63" spans="1:13" x14ac:dyDescent="0.2">
      <c r="A63" s="35">
        <f t="shared" ref="A63:A68" si="7">A62+1</f>
        <v>145</v>
      </c>
      <c r="B63" s="5" t="str">
        <f t="shared" si="3"/>
        <v>0091</v>
      </c>
      <c r="C63" s="5" t="str">
        <f>UUIDLOOKUP(F63,'UUID Table'!$C$10:$C$201,'UUID Table'!$D$10:$D$201)</f>
        <v>2803</v>
      </c>
      <c r="D63" s="5" t="str">
        <f>UUIDLOOKUP(F63,'UUID Table'!$C$10:$C$201,'UUID Table'!$E$10:$E$201)</f>
        <v>0000280300001000800000805F9B34FB</v>
      </c>
      <c r="E63" s="6" t="s">
        <v>1</v>
      </c>
      <c r="F63" s="6" t="s">
        <v>32</v>
      </c>
      <c r="G63" s="6"/>
      <c r="H63" s="30" t="s">
        <v>22</v>
      </c>
      <c r="I63" s="72" t="s">
        <v>23</v>
      </c>
      <c r="J63" s="72" t="s">
        <v>23</v>
      </c>
      <c r="K63" s="30" t="s">
        <v>23</v>
      </c>
      <c r="L63" s="7" t="str">
        <f>"{properties=0x8A, handle=0x"&amp;TEXT(B64,"0000")&amp;", UUID=0x"&amp;TEXT(C64,"0000")&amp;"}"</f>
        <v>{properties=0x8A, handle=0x0092, UUID=0xB005}</v>
      </c>
      <c r="M63" s="7"/>
    </row>
    <row r="64" spans="1:13" x14ac:dyDescent="0.2">
      <c r="A64" s="26">
        <f t="shared" si="7"/>
        <v>146</v>
      </c>
      <c r="B64" s="1" t="str">
        <f t="shared" si="3"/>
        <v>0092</v>
      </c>
      <c r="C64" s="13" t="str">
        <f>UUIDLOOKUP(G64,'UUID Table'!$C$10:$C$201,'UUID Table'!$D$10:$D$201)</f>
        <v>B005</v>
      </c>
      <c r="D64" s="13" t="str">
        <f>UUIDLOOKUP(G64,'UUID Table'!$C$10:$C$201,'UUID Table'!$E$10:$E$201)</f>
        <v>0000B00500001000800000805F9B34FB</v>
      </c>
      <c r="G64" s="42" t="s">
        <v>385</v>
      </c>
      <c r="H64" s="1" t="s">
        <v>22</v>
      </c>
      <c r="I64" s="71" t="s">
        <v>22</v>
      </c>
      <c r="J64" s="71" t="s">
        <v>23</v>
      </c>
      <c r="K64" s="1" t="s">
        <v>23</v>
      </c>
      <c r="L64" s="69" t="s">
        <v>416</v>
      </c>
    </row>
    <row r="65" spans="1:13" x14ac:dyDescent="0.2">
      <c r="A65" s="26">
        <f t="shared" si="7"/>
        <v>147</v>
      </c>
      <c r="B65" s="13" t="str">
        <f>DEC2HEX(A65,4)</f>
        <v>0093</v>
      </c>
      <c r="C65" s="13" t="str">
        <f>UUIDLOOKUP(G65,'UUID Table'!$C$10:$C$201,'UUID Table'!$E$10:$E$201)</f>
        <v>0000D5D4000000000123456789ABCDEF</v>
      </c>
      <c r="D65" s="13" t="str">
        <f>UUIDLOOKUP(G65,'UUID Table'!$C$10:$C$201,'UUID Table'!$E$10:$E$201)</f>
        <v>0000D5D4000000000123456789ABCDEF</v>
      </c>
      <c r="G65" s="68" t="s">
        <v>406</v>
      </c>
      <c r="H65" s="27" t="s">
        <v>22</v>
      </c>
      <c r="I65" s="27" t="s">
        <v>23</v>
      </c>
      <c r="J65" s="27" t="s">
        <v>23</v>
      </c>
      <c r="K65" s="27" t="s">
        <v>23</v>
      </c>
      <c r="L65" s="65" t="s">
        <v>415</v>
      </c>
      <c r="M65" s="68"/>
    </row>
    <row r="66" spans="1:13" x14ac:dyDescent="0.2">
      <c r="A66" s="26">
        <f t="shared" si="7"/>
        <v>148</v>
      </c>
      <c r="B66" s="13" t="str">
        <f t="shared" si="3"/>
        <v>0094</v>
      </c>
      <c r="C66" s="13" t="str">
        <f>UUIDLOOKUP(G66,'UUID Table'!$C$10:$C$201,'UUID Table'!$D$10:$D$201)</f>
        <v>2900</v>
      </c>
      <c r="D66" s="13" t="str">
        <f>UUIDLOOKUP(G66,'UUID Table'!$C$10:$C$201,'UUID Table'!$E$10:$E$201)</f>
        <v>0000290000001000800000805F9B34FB</v>
      </c>
      <c r="G66" s="3" t="s">
        <v>349</v>
      </c>
      <c r="H66" s="27" t="s">
        <v>22</v>
      </c>
      <c r="I66" s="27" t="s">
        <v>23</v>
      </c>
      <c r="J66" s="27" t="s">
        <v>23</v>
      </c>
      <c r="K66" s="27" t="s">
        <v>23</v>
      </c>
      <c r="L66" s="4" t="s">
        <v>351</v>
      </c>
      <c r="M66" s="68" t="s">
        <v>411</v>
      </c>
    </row>
    <row r="67" spans="1:13" x14ac:dyDescent="0.2">
      <c r="A67" s="26">
        <f t="shared" si="7"/>
        <v>149</v>
      </c>
      <c r="B67" s="1" t="str">
        <f t="shared" si="3"/>
        <v>0095</v>
      </c>
      <c r="C67" s="13" t="str">
        <f>UUIDLOOKUP(G67,'UUID Table'!$C$10:$C$201,'UUID Table'!$D$10:$D$201)</f>
        <v>2901</v>
      </c>
      <c r="D67" s="13" t="str">
        <f>UUIDLOOKUP(G67,'UUID Table'!$C$10:$C$201,'UUID Table'!$E$10:$E$201)</f>
        <v>0000290100001000800000805F9B34FB</v>
      </c>
      <c r="G67" s="4" t="s">
        <v>4</v>
      </c>
      <c r="H67" s="1" t="s">
        <v>22</v>
      </c>
      <c r="I67" s="1" t="s">
        <v>22</v>
      </c>
      <c r="J67" s="71" t="s">
        <v>23</v>
      </c>
      <c r="K67" s="1" t="s">
        <v>23</v>
      </c>
      <c r="L67" s="65" t="s">
        <v>413</v>
      </c>
      <c r="M67" s="68" t="s">
        <v>412</v>
      </c>
    </row>
    <row r="68" spans="1:13" x14ac:dyDescent="0.2">
      <c r="A68" s="26">
        <f t="shared" si="7"/>
        <v>150</v>
      </c>
      <c r="B68" s="13" t="str">
        <f t="shared" si="3"/>
        <v>0096</v>
      </c>
      <c r="C68" s="13" t="str">
        <f>UUIDLOOKUP(G68,'UUID Table'!$C$10:$C$201,'UUID Table'!$D$10:$D$201)</f>
        <v>2904</v>
      </c>
      <c r="D68" s="13" t="str">
        <f>UUIDLOOKUP(G68,'UUID Table'!$C$10:$C$201,'UUID Table'!$E$10:$E$201)</f>
        <v>0000290400001000800000805F9B34FB</v>
      </c>
      <c r="G68" s="3" t="s">
        <v>3</v>
      </c>
      <c r="H68" s="27" t="s">
        <v>22</v>
      </c>
      <c r="I68" s="27" t="s">
        <v>23</v>
      </c>
      <c r="J68" s="27" t="s">
        <v>23</v>
      </c>
      <c r="K68" s="27" t="s">
        <v>23</v>
      </c>
      <c r="L68" s="4" t="str">
        <f>"{format=0x04, exp=0x00, unit=0x3001, n_sp=0x01, descr=0x3111}"</f>
        <v>{format=0x04, exp=0x00, unit=0x3001, n_sp=0x01, descr=0x3111}</v>
      </c>
      <c r="M68" s="68" t="s">
        <v>414</v>
      </c>
    </row>
    <row r="69" spans="1:13" x14ac:dyDescent="0.2">
      <c r="A69" s="40">
        <v>160</v>
      </c>
      <c r="B69" s="8" t="str">
        <f t="shared" si="3"/>
        <v>00A0</v>
      </c>
      <c r="C69" s="8" t="str">
        <f>UUIDLOOKUP(E69,'UUID Table'!$C$10:$C$201,'UUID Table'!$D$10:$D$201)</f>
        <v>2800</v>
      </c>
      <c r="D69" s="8" t="str">
        <f>UUIDLOOKUP(E69,'UUID Table'!$C$10:$C$201,'UUID Table'!$E$10:$E$201)</f>
        <v>0000280000001000800000805F9B34FB</v>
      </c>
      <c r="E69" s="67" t="s">
        <v>376</v>
      </c>
      <c r="F69" s="8"/>
      <c r="G69" s="8"/>
      <c r="H69" s="8" t="s">
        <v>22</v>
      </c>
      <c r="I69" s="8" t="s">
        <v>23</v>
      </c>
      <c r="J69" s="8" t="s">
        <v>23</v>
      </c>
      <c r="K69" s="8" t="s">
        <v>23</v>
      </c>
      <c r="L69" s="10" t="str">
        <f>"{Service=0x"&amp;TEXT('UUID Table'!$D$145,"0000")&amp;" (""Service B.5"")}"</f>
        <v>{Service=0xA00B ("Service B.5")}</v>
      </c>
      <c r="M69" s="10"/>
    </row>
    <row r="70" spans="1:13" x14ac:dyDescent="0.2">
      <c r="A70" s="35">
        <f>A69+1</f>
        <v>161</v>
      </c>
      <c r="B70" s="5" t="str">
        <f t="shared" si="3"/>
        <v>00A1</v>
      </c>
      <c r="C70" s="5" t="str">
        <f>UUIDLOOKUP(F70,'UUID Table'!$C$10:$C$201,'UUID Table'!$D$10:$D$201)</f>
        <v>2803</v>
      </c>
      <c r="D70" s="5" t="str">
        <f>UUIDLOOKUP(F70,'UUID Table'!$C$10:$C$201,'UUID Table'!$E$10:$E$201)</f>
        <v>0000280300001000800000805F9B34FB</v>
      </c>
      <c r="E70" s="6" t="s">
        <v>1</v>
      </c>
      <c r="F70" s="6" t="s">
        <v>32</v>
      </c>
      <c r="G70" s="6"/>
      <c r="H70" s="30" t="s">
        <v>22</v>
      </c>
      <c r="I70" s="30" t="s">
        <v>23</v>
      </c>
      <c r="J70" s="30" t="s">
        <v>23</v>
      </c>
      <c r="K70" s="30" t="s">
        <v>23</v>
      </c>
      <c r="L70" s="7" t="str">
        <f>"{properties=0x02, handle=0x"&amp;TEXT(B71,"0000")&amp;", UUID=0x"&amp;TEXT(C71,"0000")&amp;"}"</f>
        <v>{properties=0x02, handle=0x00A2, UUID=0xB008}</v>
      </c>
      <c r="M70" s="7"/>
    </row>
    <row r="71" spans="1:13" x14ac:dyDescent="0.2">
      <c r="A71" s="26">
        <f>A70+1</f>
        <v>162</v>
      </c>
      <c r="B71" s="1" t="str">
        <f t="shared" si="3"/>
        <v>00A2</v>
      </c>
      <c r="C71" s="13" t="str">
        <f>UUIDLOOKUP(G71,'UUID Table'!$C$10:$C$201,'UUID Table'!$D$10:$D$201)</f>
        <v>B008</v>
      </c>
      <c r="D71" s="13" t="str">
        <f>UUIDLOOKUP(G71,'UUID Table'!$C$10:$C$201,'UUID Table'!$E$10:$E$201)</f>
        <v>0000B00800001000800000805F9B34FB</v>
      </c>
      <c r="G71" s="42" t="s">
        <v>389</v>
      </c>
      <c r="H71" s="1" t="s">
        <v>22</v>
      </c>
      <c r="I71" s="1" t="s">
        <v>23</v>
      </c>
      <c r="J71" s="1" t="s">
        <v>23</v>
      </c>
      <c r="K71" s="1" t="s">
        <v>23</v>
      </c>
      <c r="L71" s="69" t="s">
        <v>419</v>
      </c>
    </row>
    <row r="72" spans="1:13" x14ac:dyDescent="0.2">
      <c r="A72" s="40">
        <v>65533</v>
      </c>
      <c r="B72" s="8" t="str">
        <f>DEC2HEX(A72,4)</f>
        <v>FFFD</v>
      </c>
      <c r="C72" s="8" t="str">
        <f>UUIDLOOKUP(E72,'UUID Table'!$C$10:$C$201,'UUID Table'!$D$10:$D$201)</f>
        <v>2800</v>
      </c>
      <c r="D72" s="8" t="str">
        <f>UUIDLOOKUP(E72,'UUID Table'!$C$10:$C$201,'UUID Table'!$E$10:$E$201)</f>
        <v>0000280000001000800000805F9B34FB</v>
      </c>
      <c r="E72" s="67" t="s">
        <v>376</v>
      </c>
      <c r="F72" s="8"/>
      <c r="G72" s="8"/>
      <c r="H72" s="8" t="s">
        <v>22</v>
      </c>
      <c r="I72" s="8" t="s">
        <v>23</v>
      </c>
      <c r="J72" s="8" t="s">
        <v>23</v>
      </c>
      <c r="K72" s="8" t="s">
        <v>23</v>
      </c>
      <c r="L72" s="10" t="str">
        <f>"{Service=0x"&amp;TEXT('UUID Table'!$D$163,"0000")&amp;" (""Service E"")}"</f>
        <v>{Service=0xA00E ("Service E")}</v>
      </c>
      <c r="M72" s="10"/>
    </row>
    <row r="73" spans="1:13" x14ac:dyDescent="0.2">
      <c r="A73" s="35">
        <f>A72+1</f>
        <v>65534</v>
      </c>
      <c r="B73" s="5" t="str">
        <f>DEC2HEX(A73,4)</f>
        <v>FFFE</v>
      </c>
      <c r="C73" s="5" t="str">
        <f>UUIDLOOKUP(F73,'UUID Table'!$C$10:$C$201,'UUID Table'!$D$10:$D$201)</f>
        <v>2803</v>
      </c>
      <c r="D73" s="5" t="str">
        <f>UUIDLOOKUP(F73,'UUID Table'!$C$10:$C$201,'UUID Table'!$E$10:$E$201)</f>
        <v>0000280300001000800000805F9B34FB</v>
      </c>
      <c r="E73" s="6" t="s">
        <v>1</v>
      </c>
      <c r="F73" s="6" t="s">
        <v>32</v>
      </c>
      <c r="G73" s="6"/>
      <c r="H73" s="30" t="s">
        <v>22</v>
      </c>
      <c r="I73" s="30" t="s">
        <v>23</v>
      </c>
      <c r="J73" s="30" t="s">
        <v>23</v>
      </c>
      <c r="K73" s="30" t="s">
        <v>23</v>
      </c>
      <c r="L73" s="7" t="str">
        <f>"{properties=0x02, handle=0x"&amp;TEXT(B74,"0000")&amp;", UUID=0x"&amp;TEXT(C74,"0000")&amp;"}"</f>
        <v>{properties=0x02, handle=0xFFFF, UUID=0xB00D}</v>
      </c>
      <c r="M73" s="75"/>
    </row>
    <row r="74" spans="1:13" x14ac:dyDescent="0.2">
      <c r="A74" s="26">
        <f>A73+1</f>
        <v>65535</v>
      </c>
      <c r="B74" s="1" t="str">
        <f>DEC2HEX(A74,4)</f>
        <v>FFFF</v>
      </c>
      <c r="C74" s="13" t="str">
        <f>UUIDLOOKUP(G74,'UUID Table'!$C$10:$C$201,'UUID Table'!$D$10:$D$201)</f>
        <v>B00D</v>
      </c>
      <c r="D74" s="13" t="str">
        <f>UUIDLOOKUP(G74,'UUID Table'!$C$10:$C$201,'UUID Table'!$E$10:$E$201)</f>
        <v>0000B00D00001000800000805F9B34FB</v>
      </c>
      <c r="G74" s="42" t="s">
        <v>400</v>
      </c>
      <c r="H74" s="1" t="s">
        <v>22</v>
      </c>
      <c r="I74" s="1" t="s">
        <v>23</v>
      </c>
      <c r="J74" s="1" t="s">
        <v>23</v>
      </c>
      <c r="K74" s="1" t="s">
        <v>23</v>
      </c>
      <c r="L74" s="69" t="s">
        <v>432</v>
      </c>
    </row>
    <row r="75" spans="1:13" x14ac:dyDescent="0.2">
      <c r="A75" s="26"/>
      <c r="B75" s="13"/>
      <c r="C75" s="13"/>
      <c r="D75" s="13"/>
      <c r="L75" s="65"/>
      <c r="M75" s="68"/>
    </row>
    <row r="76" spans="1:13" x14ac:dyDescent="0.2">
      <c r="H76" s="27" t="s">
        <v>22</v>
      </c>
      <c r="I76" s="76" t="s">
        <v>449</v>
      </c>
      <c r="J76" s="76"/>
    </row>
    <row r="77" spans="1:13" x14ac:dyDescent="0.2">
      <c r="H77" s="27" t="s">
        <v>23</v>
      </c>
      <c r="I77" s="41" t="s">
        <v>28</v>
      </c>
      <c r="J77" s="41"/>
    </row>
    <row r="78" spans="1:13" x14ac:dyDescent="0.2">
      <c r="I78" s="41"/>
      <c r="J78" s="41"/>
    </row>
    <row r="79" spans="1:13" x14ac:dyDescent="0.2">
      <c r="I79" s="41"/>
      <c r="J79" s="41"/>
    </row>
    <row r="81" spans="2:11" x14ac:dyDescent="0.2">
      <c r="C81" s="3" t="s">
        <v>366</v>
      </c>
      <c r="G81" s="59" t="s">
        <v>365</v>
      </c>
      <c r="H81" s="60">
        <f t="array" ref="H81">ROWS(A5:A74)-COUNTBLANK(A5:A74)-SUM(IF(FREQUENCY(IF(LEN(A5:A74)&gt;0,MATCH(A5:A74,A5:A74,0),""), IF(LEN(A5:A74)&gt;0,MATCH(A5:A74,A5:A74,0),""))&gt;0,1))</f>
        <v>0</v>
      </c>
      <c r="I81" s="15"/>
      <c r="J81" s="15"/>
      <c r="K81" s="3"/>
    </row>
    <row r="82" spans="2:11" x14ac:dyDescent="0.2">
      <c r="B82"/>
      <c r="C82"/>
      <c r="D82"/>
      <c r="E82" s="15"/>
    </row>
    <row r="83" spans="2:11" x14ac:dyDescent="0.2">
      <c r="B83"/>
      <c r="C83" s="68" t="s">
        <v>473</v>
      </c>
    </row>
    <row r="84" spans="2:11" x14ac:dyDescent="0.2">
      <c r="B84"/>
      <c r="C84" t="s">
        <v>434</v>
      </c>
      <c r="D84"/>
      <c r="E84" s="15"/>
    </row>
    <row r="85" spans="2:11" x14ac:dyDescent="0.2">
      <c r="B85"/>
      <c r="C85" s="70" t="s">
        <v>474</v>
      </c>
      <c r="D85" s="15"/>
      <c r="E85" s="15"/>
      <c r="H85" s="3"/>
      <c r="I85" s="3"/>
      <c r="J85" s="3"/>
      <c r="K85" s="3"/>
    </row>
    <row r="86" spans="2:11" x14ac:dyDescent="0.2">
      <c r="C86" s="68" t="s">
        <v>475</v>
      </c>
    </row>
    <row r="87" spans="2:11" x14ac:dyDescent="0.2">
      <c r="C87" s="68" t="s">
        <v>479</v>
      </c>
    </row>
    <row r="89" spans="2:11" x14ac:dyDescent="0.2">
      <c r="C89" s="68" t="s">
        <v>477</v>
      </c>
    </row>
    <row r="90" spans="2:11" x14ac:dyDescent="0.2">
      <c r="C90" s="68" t="s">
        <v>478</v>
      </c>
    </row>
    <row r="91" spans="2:11" x14ac:dyDescent="0.2">
      <c r="C91" s="68" t="s">
        <v>464</v>
      </c>
    </row>
    <row r="92" spans="2:11" x14ac:dyDescent="0.2">
      <c r="C92" s="2" t="s">
        <v>476</v>
      </c>
    </row>
    <row r="93" spans="2:11" x14ac:dyDescent="0.2">
      <c r="C93" s="68" t="s">
        <v>465</v>
      </c>
    </row>
    <row r="94" spans="2:11" x14ac:dyDescent="0.2">
      <c r="C94" s="68" t="s">
        <v>466</v>
      </c>
    </row>
    <row r="95" spans="2:11" x14ac:dyDescent="0.2">
      <c r="C95" s="68" t="s">
        <v>467</v>
      </c>
    </row>
    <row r="96" spans="2:11" x14ac:dyDescent="0.2">
      <c r="C96" s="68" t="s">
        <v>468</v>
      </c>
    </row>
    <row r="97" spans="3:3" x14ac:dyDescent="0.2">
      <c r="C97" s="68" t="s">
        <v>469</v>
      </c>
    </row>
    <row r="98" spans="3:3" x14ac:dyDescent="0.2">
      <c r="C98" s="68" t="s">
        <v>470</v>
      </c>
    </row>
    <row r="99" spans="3:3" x14ac:dyDescent="0.2">
      <c r="C99" s="68" t="s">
        <v>471</v>
      </c>
    </row>
  </sheetData>
  <conditionalFormatting sqref="G81:H81">
    <cfRule type="expression" dxfId="4" priority="1" stopIfTrue="1">
      <formula>$H$81&gt;0</formula>
    </cfRule>
  </conditionalFormatting>
  <pageMargins left="0.75" right="0.75" top="1" bottom="1" header="0.5" footer="0.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96"/>
  <sheetViews>
    <sheetView topLeftCell="A9" workbookViewId="0">
      <selection activeCell="A11" sqref="A11:XFD11"/>
    </sheetView>
  </sheetViews>
  <sheetFormatPr defaultColWidth="9.140625" defaultRowHeight="12.75" outlineLevelCol="1" x14ac:dyDescent="0.2"/>
  <cols>
    <col min="1" max="1" width="6.5703125" style="3" customWidth="1"/>
    <col min="2" max="2" width="9.7109375" style="3" customWidth="1"/>
    <col min="3" max="3" width="36.5703125" style="3" customWidth="1"/>
    <col min="4" max="4" width="36.5703125" style="3" hidden="1" customWidth="1" outlineLevel="1"/>
    <col min="5" max="5" width="2.7109375" style="3" customWidth="1" collapsed="1"/>
    <col min="6" max="6" width="3" style="3" customWidth="1"/>
    <col min="7" max="7" width="43.42578125" style="3" customWidth="1"/>
    <col min="8" max="11" width="5.5703125" style="27" customWidth="1"/>
    <col min="12" max="12" width="83.5703125" style="3" customWidth="1"/>
    <col min="13" max="13" width="48.28515625" style="3" customWidth="1"/>
    <col min="14" max="16384" width="9.140625" style="3"/>
  </cols>
  <sheetData>
    <row r="2" spans="1:13" s="2" customFormat="1" x14ac:dyDescent="0.2">
      <c r="A2" s="37" t="s">
        <v>7</v>
      </c>
      <c r="B2" s="38" t="s">
        <v>0</v>
      </c>
      <c r="C2" s="32" t="s">
        <v>367</v>
      </c>
      <c r="D2" s="39" t="s">
        <v>9</v>
      </c>
      <c r="E2" s="39" t="s">
        <v>18</v>
      </c>
      <c r="F2" s="39"/>
      <c r="G2" s="38"/>
      <c r="H2" s="31"/>
      <c r="I2" s="32" t="s">
        <v>21</v>
      </c>
      <c r="J2" s="32" t="s">
        <v>21</v>
      </c>
      <c r="K2" s="39"/>
      <c r="L2" s="39" t="s">
        <v>27</v>
      </c>
      <c r="M2" s="39" t="s">
        <v>6</v>
      </c>
    </row>
    <row r="3" spans="1:13" s="2" customFormat="1" ht="25.5" customHeight="1" x14ac:dyDescent="0.2">
      <c r="A3" s="37"/>
      <c r="B3" s="38"/>
      <c r="C3" s="39"/>
      <c r="D3" s="39"/>
      <c r="E3" s="39"/>
      <c r="F3" s="39"/>
      <c r="G3" s="38"/>
      <c r="H3" s="33" t="s">
        <v>25</v>
      </c>
      <c r="I3" s="33" t="s">
        <v>26</v>
      </c>
      <c r="J3" s="94" t="s">
        <v>552</v>
      </c>
      <c r="K3" s="94" t="s">
        <v>553</v>
      </c>
      <c r="L3" s="39"/>
      <c r="M3" s="39"/>
    </row>
    <row r="4" spans="1:13" s="2" customFormat="1" x14ac:dyDescent="0.2">
      <c r="A4" s="11"/>
      <c r="B4" s="12"/>
      <c r="C4" s="11"/>
      <c r="D4" s="11"/>
      <c r="E4" s="11"/>
      <c r="F4" s="11"/>
      <c r="G4" s="12"/>
      <c r="H4" s="28"/>
      <c r="I4" s="28"/>
      <c r="J4" s="28"/>
      <c r="K4" s="28"/>
      <c r="L4" s="11"/>
      <c r="M4" s="11"/>
    </row>
    <row r="5" spans="1:13" x14ac:dyDescent="0.2">
      <c r="A5" s="40">
        <v>1</v>
      </c>
      <c r="B5" s="8" t="str">
        <f t="shared" ref="B5:B48" si="0">DEC2HEX(A5,4)</f>
        <v>0001</v>
      </c>
      <c r="C5" s="8" t="str">
        <f>UUIDLOOKUP(E5,'UUID Table'!$C$10:$C$201,'UUID Table'!$D$10:$D$201)</f>
        <v>2800</v>
      </c>
      <c r="D5" s="8" t="str">
        <f>UUIDLOOKUP(E5,'UUID Table'!$C$10:$C$201,'UUID Table'!$E$10:$E$201)</f>
        <v>0000280000001000800000805F9B34FB</v>
      </c>
      <c r="E5" s="67" t="s">
        <v>376</v>
      </c>
      <c r="F5" s="8"/>
      <c r="G5" s="8"/>
      <c r="H5" s="8" t="s">
        <v>22</v>
      </c>
      <c r="I5" s="8" t="s">
        <v>23</v>
      </c>
      <c r="J5" s="8" t="s">
        <v>23</v>
      </c>
      <c r="K5" s="8" t="s">
        <v>23</v>
      </c>
      <c r="L5" s="10" t="str">
        <f>"{Service=0x"&amp;TEXT('UUID Table'!$D$145,"0000")&amp;" (""Service B.1"")}"</f>
        <v>{Service=0xA00B ("Service B.1")}</v>
      </c>
      <c r="M5" s="10"/>
    </row>
    <row r="6" spans="1:13" x14ac:dyDescent="0.2">
      <c r="A6" s="35">
        <f>A5+1</f>
        <v>2</v>
      </c>
      <c r="B6" s="5" t="str">
        <f t="shared" si="0"/>
        <v>0002</v>
      </c>
      <c r="C6" s="5" t="str">
        <f>UUIDLOOKUP(F6,'UUID Table'!$C$10:$C$201,'UUID Table'!$D$10:$D$201)</f>
        <v>2803</v>
      </c>
      <c r="D6" s="5" t="str">
        <f>UUIDLOOKUP(F6,'UUID Table'!$C$10:$C$201,'UUID Table'!$E$10:$E$201)</f>
        <v>0000280300001000800000805F9B34FB</v>
      </c>
      <c r="E6" s="6" t="s">
        <v>1</v>
      </c>
      <c r="F6" s="6" t="s">
        <v>32</v>
      </c>
      <c r="G6" s="6"/>
      <c r="H6" s="30" t="s">
        <v>22</v>
      </c>
      <c r="I6" s="30" t="s">
        <v>23</v>
      </c>
      <c r="J6" s="30" t="s">
        <v>23</v>
      </c>
      <c r="K6" s="30" t="s">
        <v>23</v>
      </c>
      <c r="L6" s="7" t="str">
        <f>"{properties=0x0A, handle=0x"&amp;TEXT(B7,"0000")&amp;", UUID=0x"&amp;TEXT(C7,"0000")&amp;"}"</f>
        <v>{properties=0x0A, handle=0x0003, UUID=0xB004}</v>
      </c>
      <c r="M6" s="7"/>
    </row>
    <row r="7" spans="1:13" x14ac:dyDescent="0.2">
      <c r="A7" s="26">
        <f>A6+1</f>
        <v>3</v>
      </c>
      <c r="B7" s="1" t="str">
        <f t="shared" si="0"/>
        <v>0003</v>
      </c>
      <c r="C7" s="13" t="str">
        <f>UUIDLOOKUP(G7,'UUID Table'!$C$10:$C$201,'UUID Table'!$D$10:$D$201)</f>
        <v>B004</v>
      </c>
      <c r="D7" s="13" t="str">
        <f>UUIDLOOKUP(G7,'UUID Table'!$C$10:$C$201,'UUID Table'!$E$10:$E$201)</f>
        <v>0000B00400001000800000805F9B34FB</v>
      </c>
      <c r="G7" s="42" t="s">
        <v>401</v>
      </c>
      <c r="H7" s="1" t="s">
        <v>22</v>
      </c>
      <c r="I7" s="71" t="s">
        <v>22</v>
      </c>
      <c r="J7" s="71" t="s">
        <v>23</v>
      </c>
      <c r="K7" s="1" t="s">
        <v>23</v>
      </c>
      <c r="L7" s="36" t="s">
        <v>350</v>
      </c>
    </row>
    <row r="8" spans="1:13" x14ac:dyDescent="0.2">
      <c r="A8" s="40">
        <v>16</v>
      </c>
      <c r="B8" s="8" t="str">
        <f t="shared" si="0"/>
        <v>0010</v>
      </c>
      <c r="C8" s="8" t="str">
        <f>UUIDLOOKUP(E8,'UUID Table'!$C$10:$C$201,'UUID Table'!$D$10:$D$201)</f>
        <v>2800</v>
      </c>
      <c r="D8" s="8" t="str">
        <f>UUIDLOOKUP(E8,'UUID Table'!$C$10:$C$201,'UUID Table'!$E$10:$E$201)</f>
        <v>0000280000001000800000805F9B34FB</v>
      </c>
      <c r="E8" s="67" t="s">
        <v>376</v>
      </c>
      <c r="F8" s="9"/>
      <c r="G8" s="9"/>
      <c r="H8" s="29" t="s">
        <v>22</v>
      </c>
      <c r="I8" s="29" t="s">
        <v>23</v>
      </c>
      <c r="J8" s="29" t="s">
        <v>23</v>
      </c>
      <c r="K8" s="29" t="s">
        <v>23</v>
      </c>
      <c r="L8" s="10" t="str">
        <f>"{Service=0x"&amp;TEXT('UUID Table'!$D$130,"0000")&amp;" (""Attribute Profile"")}"</f>
        <v>{Service=0x1801 ("Attribute Profile")}</v>
      </c>
      <c r="M8" s="10"/>
    </row>
    <row r="9" spans="1:13" x14ac:dyDescent="0.2">
      <c r="A9" s="35">
        <f>A8+1</f>
        <v>17</v>
      </c>
      <c r="B9" s="5" t="str">
        <f t="shared" si="0"/>
        <v>0011</v>
      </c>
      <c r="C9" s="5" t="str">
        <f>UUIDLOOKUP(F9,'UUID Table'!$C$10:$C$201,'UUID Table'!$D$10:$D$201)</f>
        <v>2803</v>
      </c>
      <c r="D9" s="5" t="str">
        <f>UUIDLOOKUP(F9,'UUID Table'!$C$10:$C$201,'UUID Table'!$E$10:$E$201)</f>
        <v>0000280300001000800000805F9B34FB</v>
      </c>
      <c r="E9" s="6" t="s">
        <v>1</v>
      </c>
      <c r="F9" s="6" t="s">
        <v>32</v>
      </c>
      <c r="G9" s="6"/>
      <c r="H9" s="30" t="s">
        <v>22</v>
      </c>
      <c r="I9" s="72" t="s">
        <v>23</v>
      </c>
      <c r="J9" s="72" t="s">
        <v>23</v>
      </c>
      <c r="K9" s="30" t="s">
        <v>23</v>
      </c>
      <c r="L9" s="7" t="str">
        <f>"{properties=0x20, handle=0x"&amp;TEXT(B10,"0000")&amp;", UUID=0x"&amp;TEXT(C10,"0000")&amp;"}"</f>
        <v>{properties=0x20, handle=0x0012, UUID=0x2A05}</v>
      </c>
      <c r="M9" s="7"/>
    </row>
    <row r="10" spans="1:13" x14ac:dyDescent="0.2">
      <c r="A10" s="26">
        <f>A9+1</f>
        <v>18</v>
      </c>
      <c r="B10" s="1" t="str">
        <f t="shared" si="0"/>
        <v>0012</v>
      </c>
      <c r="C10" s="13" t="str">
        <f>UUIDLOOKUP(G10,'UUID Table'!$C$10:$C$201,'UUID Table'!$D$10:$D$201)</f>
        <v>2A05</v>
      </c>
      <c r="D10" s="13" t="str">
        <f>UUIDLOOKUP(G10,'UUID Table'!$C$10:$C$201,'UUID Table'!$E$10:$E$201)</f>
        <v>00002A0500001000800000805F9B34FB</v>
      </c>
      <c r="G10" s="42" t="s">
        <v>29</v>
      </c>
      <c r="H10" s="71" t="s">
        <v>23</v>
      </c>
      <c r="I10" s="71" t="s">
        <v>23</v>
      </c>
      <c r="J10" s="71" t="s">
        <v>22</v>
      </c>
      <c r="K10" s="71" t="s">
        <v>23</v>
      </c>
      <c r="L10" s="69" t="s">
        <v>438</v>
      </c>
    </row>
    <row r="11" spans="1:13" x14ac:dyDescent="0.2">
      <c r="A11" s="26">
        <f>A10+1</f>
        <v>19</v>
      </c>
      <c r="B11" s="1" t="str">
        <f t="shared" si="0"/>
        <v>0013</v>
      </c>
      <c r="C11" s="13" t="str">
        <f>UUIDLOOKUP(G11,'UUID Table'!$C$10:$C$201,'UUID Table'!$D$10:$D$201)</f>
        <v>2902</v>
      </c>
      <c r="D11" s="13" t="str">
        <f>UUIDLOOKUP(G11,'UUID Table'!$C$10:$C$201,'UUID Table'!$E$10:$E$201)</f>
        <v>0000290200001000800000805F9B34FB</v>
      </c>
      <c r="G11" s="42" t="s">
        <v>363</v>
      </c>
      <c r="H11" s="71" t="s">
        <v>22</v>
      </c>
      <c r="I11" s="71" t="s">
        <v>22</v>
      </c>
      <c r="J11" s="71" t="s">
        <v>23</v>
      </c>
      <c r="K11" s="71" t="s">
        <v>23</v>
      </c>
      <c r="L11" s="69" t="s">
        <v>590</v>
      </c>
    </row>
    <row r="12" spans="1:13" x14ac:dyDescent="0.2">
      <c r="A12" s="40">
        <v>32</v>
      </c>
      <c r="B12" s="8" t="str">
        <f t="shared" si="0"/>
        <v>0020</v>
      </c>
      <c r="C12" s="8" t="str">
        <f>UUIDLOOKUP(E12,'UUID Table'!$C$10:$C$201,'UUID Table'!$D$10:$D$201)</f>
        <v>2801</v>
      </c>
      <c r="D12" s="8" t="str">
        <f>UUIDLOOKUP(E12,'UUID Table'!$C$10:$C$201,'UUID Table'!$E$10:$E$201)</f>
        <v>0000280100001000800000805F9B34FB</v>
      </c>
      <c r="E12" s="67" t="s">
        <v>377</v>
      </c>
      <c r="F12" s="8"/>
      <c r="G12" s="8"/>
      <c r="H12" s="8" t="s">
        <v>22</v>
      </c>
      <c r="I12" s="8" t="s">
        <v>23</v>
      </c>
      <c r="J12" s="8" t="s">
        <v>23</v>
      </c>
      <c r="K12" s="8" t="s">
        <v>23</v>
      </c>
      <c r="L12" s="10" t="str">
        <f>"{Service=0x"&amp;TEXT('UUID Table'!$D$160,"0000")&amp;" (""Service D"")}"</f>
        <v>{Service=0xA00D ("Service D")}</v>
      </c>
      <c r="M12" s="10"/>
    </row>
    <row r="13" spans="1:13" s="110" customFormat="1" x14ac:dyDescent="0.2">
      <c r="A13" s="104">
        <f>A12+1</f>
        <v>33</v>
      </c>
      <c r="B13" s="105" t="str">
        <f>DEC2HEX(A13,4)</f>
        <v>0021</v>
      </c>
      <c r="C13" s="105" t="str">
        <f>UUIDLOOKUP(G13,'UUID Table'!$C$10:$C$201,'UUID Table'!$D$10:$D$201)</f>
        <v>2802</v>
      </c>
      <c r="D13" s="105"/>
      <c r="E13" s="106"/>
      <c r="F13" s="105"/>
      <c r="G13" s="107" t="s">
        <v>348</v>
      </c>
      <c r="H13" s="108" t="s">
        <v>22</v>
      </c>
      <c r="I13" s="108" t="s">
        <v>23</v>
      </c>
      <c r="J13" s="108" t="s">
        <v>23</v>
      </c>
      <c r="K13" s="108" t="s">
        <v>23</v>
      </c>
      <c r="L13" s="109" t="str">
        <f>"{handle=0x"&amp;TEXT(B43,"0000")&amp;", end group handle=0x"&amp;TEXT(B48,"0000")&amp;"}"</f>
        <v>{handle=0x0080, end group handle=0x0085}</v>
      </c>
      <c r="M13" s="109"/>
    </row>
    <row r="14" spans="1:13" x14ac:dyDescent="0.2">
      <c r="A14" s="35">
        <f>A13+1</f>
        <v>34</v>
      </c>
      <c r="B14" s="5" t="str">
        <f t="shared" si="0"/>
        <v>0022</v>
      </c>
      <c r="C14" s="5" t="str">
        <f>UUIDLOOKUP(F14,'UUID Table'!$C$10:$C$201,'UUID Table'!$D$10:$D$201)</f>
        <v>2803</v>
      </c>
      <c r="D14" s="5" t="str">
        <f>UUIDLOOKUP(F14,'UUID Table'!$C$10:$C$201,'UUID Table'!$E$10:$E$201)</f>
        <v>0000280300001000800000805F9B34FB</v>
      </c>
      <c r="E14" s="6" t="s">
        <v>1</v>
      </c>
      <c r="F14" s="6" t="s">
        <v>32</v>
      </c>
      <c r="G14" s="6"/>
      <c r="H14" s="30" t="s">
        <v>22</v>
      </c>
      <c r="I14" s="30" t="s">
        <v>23</v>
      </c>
      <c r="J14" s="30" t="s">
        <v>23</v>
      </c>
      <c r="K14" s="30" t="s">
        <v>23</v>
      </c>
      <c r="L14" s="7" t="str">
        <f>"{properties=0x02, handle=0x"&amp;TEXT(B15,"0000")&amp;", UUID=0x"&amp;TEXT(C15,"0000")&amp;"}"</f>
        <v>{properties=0x02, handle=0x0023, UUID=0xB00C}</v>
      </c>
      <c r="M14" s="7"/>
    </row>
    <row r="15" spans="1:13" x14ac:dyDescent="0.2">
      <c r="A15" s="26">
        <f>A14+1</f>
        <v>35</v>
      </c>
      <c r="B15" s="1" t="str">
        <f t="shared" si="0"/>
        <v>0023</v>
      </c>
      <c r="C15" s="13" t="str">
        <f>UUIDLOOKUP(G15,'UUID Table'!$C$10:$C$201,'UUID Table'!$D$10:$D$201)</f>
        <v>B00C</v>
      </c>
      <c r="D15" s="13" t="str">
        <f>UUIDLOOKUP(G15,'UUID Table'!$C$10:$C$201,'UUID Table'!$E$10:$E$201)</f>
        <v>0000B00C00001000800000805F9B34FB</v>
      </c>
      <c r="G15" s="42" t="s">
        <v>402</v>
      </c>
      <c r="H15" s="1" t="s">
        <v>22</v>
      </c>
      <c r="I15" s="1" t="s">
        <v>23</v>
      </c>
      <c r="J15" s="1" t="s">
        <v>23</v>
      </c>
      <c r="K15" s="1" t="s">
        <v>23</v>
      </c>
      <c r="L15" s="69" t="s">
        <v>430</v>
      </c>
      <c r="M15" s="68"/>
    </row>
    <row r="16" spans="1:13" x14ac:dyDescent="0.2">
      <c r="A16" s="35">
        <f>A15+1</f>
        <v>36</v>
      </c>
      <c r="B16" s="5" t="str">
        <f t="shared" si="0"/>
        <v>0024</v>
      </c>
      <c r="C16" s="5" t="str">
        <f>UUIDLOOKUP(F16,'UUID Table'!$C$10:$C$201,'UUID Table'!$D$10:$D$201)</f>
        <v>2803</v>
      </c>
      <c r="D16" s="5" t="str">
        <f>UUIDLOOKUP(F16,'UUID Table'!$C$10:$C$201,'UUID Table'!$E$10:$E$201)</f>
        <v>0000280300001000800000805F9B34FB</v>
      </c>
      <c r="E16" s="6" t="s">
        <v>1</v>
      </c>
      <c r="F16" s="6" t="s">
        <v>32</v>
      </c>
      <c r="G16" s="6"/>
      <c r="H16" s="30" t="s">
        <v>22</v>
      </c>
      <c r="I16" s="30" t="s">
        <v>23</v>
      </c>
      <c r="J16" s="30" t="s">
        <v>23</v>
      </c>
      <c r="K16" s="30" t="s">
        <v>23</v>
      </c>
      <c r="L16" s="7" t="str">
        <f>"{properties=0x02, handle=0x"&amp;TEXT(B17,"0000")&amp;", UUID=0x"&amp;TEXT(C17,"0000")&amp;"}"</f>
        <v>{properties=0x02, handle=0x0025, UUID=0x0000B00B000000000123456789ABCDEF}</v>
      </c>
      <c r="M16" s="7"/>
    </row>
    <row r="17" spans="1:13" x14ac:dyDescent="0.2">
      <c r="A17" s="26">
        <f>A16+1</f>
        <v>37</v>
      </c>
      <c r="B17" s="1" t="str">
        <f t="shared" si="0"/>
        <v>0025</v>
      </c>
      <c r="C17" s="13" t="str">
        <f>UUIDLOOKUP(G17,'UUID Table'!$C$10:$C$201,'UUID Table'!$E$10:$E$201)</f>
        <v>0000B00B000000000123456789ABCDEF</v>
      </c>
      <c r="D17" s="13" t="str">
        <f>UUIDLOOKUP(G17,'UUID Table'!$C$10:$C$201,'UUID Table'!$E$10:$E$201)</f>
        <v>0000B00B000000000123456789ABCDEF</v>
      </c>
      <c r="G17" s="42" t="s">
        <v>398</v>
      </c>
      <c r="H17" s="1" t="s">
        <v>22</v>
      </c>
      <c r="I17" s="71" t="s">
        <v>23</v>
      </c>
      <c r="J17" s="71" t="s">
        <v>23</v>
      </c>
      <c r="K17" s="1" t="s">
        <v>23</v>
      </c>
      <c r="L17" s="69" t="s">
        <v>429</v>
      </c>
    </row>
    <row r="18" spans="1:13" x14ac:dyDescent="0.2">
      <c r="A18" s="40">
        <v>48</v>
      </c>
      <c r="B18" s="8" t="str">
        <f t="shared" si="0"/>
        <v>0030</v>
      </c>
      <c r="C18" s="8" t="str">
        <f>UUIDLOOKUP(E18,'UUID Table'!$C$10:$C$201,'UUID Table'!$D$10:$D$201)</f>
        <v>2800</v>
      </c>
      <c r="D18" s="8" t="str">
        <f>UUIDLOOKUP(E18,'UUID Table'!$C$10:$C$201,'UUID Table'!$E$10:$E$201)</f>
        <v>0000280000001000800000805F9B34FB</v>
      </c>
      <c r="E18" s="67" t="s">
        <v>376</v>
      </c>
      <c r="F18" s="8"/>
      <c r="G18" s="8"/>
      <c r="H18" s="8" t="s">
        <v>22</v>
      </c>
      <c r="I18" s="8" t="s">
        <v>23</v>
      </c>
      <c r="J18" s="8" t="s">
        <v>23</v>
      </c>
      <c r="K18" s="8" t="s">
        <v>23</v>
      </c>
      <c r="L18" s="10" t="str">
        <f>"{Service=0x"&amp;TEXT('UUID Table'!$D$145,"0000")&amp;" (""Service B.5"")}"</f>
        <v>{Service=0xA00B ("Service B.5")}</v>
      </c>
      <c r="M18" s="10"/>
    </row>
    <row r="19" spans="1:13" x14ac:dyDescent="0.2">
      <c r="A19" s="35">
        <f>A18+1</f>
        <v>49</v>
      </c>
      <c r="B19" s="5" t="str">
        <f t="shared" si="0"/>
        <v>0031</v>
      </c>
      <c r="C19" s="5" t="str">
        <f>UUIDLOOKUP(F19,'UUID Table'!$C$10:$C$201,'UUID Table'!$D$10:$D$201)</f>
        <v>2803</v>
      </c>
      <c r="D19" s="5" t="str">
        <f>UUIDLOOKUP(F19,'UUID Table'!$C$10:$C$201,'UUID Table'!$E$10:$E$201)</f>
        <v>0000280300001000800000805F9B34FB</v>
      </c>
      <c r="E19" s="6" t="s">
        <v>1</v>
      </c>
      <c r="F19" s="6" t="s">
        <v>32</v>
      </c>
      <c r="G19" s="6"/>
      <c r="H19" s="30" t="s">
        <v>22</v>
      </c>
      <c r="I19" s="30" t="s">
        <v>23</v>
      </c>
      <c r="J19" s="30" t="s">
        <v>23</v>
      </c>
      <c r="K19" s="30" t="s">
        <v>23</v>
      </c>
      <c r="L19" s="7" t="str">
        <f>"{properties=0x02, handle=0x"&amp;TEXT(B20,"0000")&amp;", UUID=0x"&amp;TEXT(C20,"0000")&amp;"}"</f>
        <v>{properties=0x02, handle=0x0032, UUID=0xB008}</v>
      </c>
      <c r="M19" s="7"/>
    </row>
    <row r="20" spans="1:13" x14ac:dyDescent="0.2">
      <c r="A20" s="26">
        <f>A19+1</f>
        <v>50</v>
      </c>
      <c r="B20" s="1" t="str">
        <f t="shared" si="0"/>
        <v>0032</v>
      </c>
      <c r="C20" s="13" t="str">
        <f>UUIDLOOKUP(G20,'UUID Table'!$C$10:$C$201,'UUID Table'!$D$10:$D$201)</f>
        <v>B008</v>
      </c>
      <c r="D20" s="13" t="str">
        <f>UUIDLOOKUP(G20,'UUID Table'!$C$10:$C$201,'UUID Table'!$E$10:$E$201)</f>
        <v>0000B00800001000800000805F9B34FB</v>
      </c>
      <c r="G20" s="42" t="s">
        <v>389</v>
      </c>
      <c r="H20" s="1" t="s">
        <v>22</v>
      </c>
      <c r="I20" s="1" t="s">
        <v>23</v>
      </c>
      <c r="J20" s="1" t="s">
        <v>23</v>
      </c>
      <c r="K20" s="1" t="s">
        <v>23</v>
      </c>
      <c r="L20" s="69" t="s">
        <v>419</v>
      </c>
    </row>
    <row r="21" spans="1:13" x14ac:dyDescent="0.2">
      <c r="A21" s="40">
        <v>64</v>
      </c>
      <c r="B21" s="8" t="str">
        <f t="shared" si="0"/>
        <v>0040</v>
      </c>
      <c r="C21" s="8" t="str">
        <f>UUIDLOOKUP(E21,'UUID Table'!$C$10:$C$201,'UUID Table'!$D$10:$D$201)</f>
        <v>2800</v>
      </c>
      <c r="D21" s="8" t="str">
        <f>UUIDLOOKUP(E21,'UUID Table'!$C$10:$C$201,'UUID Table'!$E$10:$E$201)</f>
        <v>0000280000001000800000805F9B34FB</v>
      </c>
      <c r="E21" s="67" t="s">
        <v>376</v>
      </c>
      <c r="F21" s="8"/>
      <c r="G21" s="8"/>
      <c r="H21" s="8" t="s">
        <v>22</v>
      </c>
      <c r="I21" s="8" t="s">
        <v>23</v>
      </c>
      <c r="J21" s="8" t="s">
        <v>23</v>
      </c>
      <c r="K21" s="8" t="s">
        <v>23</v>
      </c>
      <c r="L21" s="10" t="str">
        <f>"{Service=0x"&amp;TEXT('UUID Table'!$D$145,"0000")&amp;" (""Service B.4"")}"</f>
        <v>{Service=0xA00B ("Service B.4")}</v>
      </c>
      <c r="M21" s="10"/>
    </row>
    <row r="22" spans="1:13" x14ac:dyDescent="0.2">
      <c r="A22" s="35">
        <f>A21+1</f>
        <v>65</v>
      </c>
      <c r="B22" s="5" t="str">
        <f t="shared" si="0"/>
        <v>0041</v>
      </c>
      <c r="C22" s="5" t="str">
        <f>UUIDLOOKUP(F22,'UUID Table'!$C$10:$C$201,'UUID Table'!$D$10:$D$201)</f>
        <v>2803</v>
      </c>
      <c r="D22" s="5" t="str">
        <f>UUIDLOOKUP(F22,'UUID Table'!$C$10:$C$201,'UUID Table'!$E$10:$E$201)</f>
        <v>0000280300001000800000805F9B34FB</v>
      </c>
      <c r="E22" s="6" t="s">
        <v>1</v>
      </c>
      <c r="F22" s="6" t="s">
        <v>32</v>
      </c>
      <c r="G22" s="6"/>
      <c r="H22" s="30" t="s">
        <v>22</v>
      </c>
      <c r="I22" s="30" t="s">
        <v>23</v>
      </c>
      <c r="J22" s="30" t="s">
        <v>23</v>
      </c>
      <c r="K22" s="30" t="s">
        <v>23</v>
      </c>
      <c r="L22" s="7" t="str">
        <f>"{properties=0x08, handle=0x"&amp;TEXT(B23,"0000")&amp;", UUID=0x"&amp;TEXT(C23,"0000")&amp;"}"</f>
        <v>{properties=0x08, handle=0x0042, UUID=0xB007}</v>
      </c>
      <c r="M22" s="7"/>
    </row>
    <row r="23" spans="1:13" x14ac:dyDescent="0.2">
      <c r="A23" s="26">
        <f>A22+1</f>
        <v>66</v>
      </c>
      <c r="B23" s="1" t="str">
        <f t="shared" si="0"/>
        <v>0042</v>
      </c>
      <c r="C23" s="13" t="str">
        <f>UUIDLOOKUP(G23,'UUID Table'!$C$10:$C$201,'UUID Table'!$D$10:$D$201)</f>
        <v>B007</v>
      </c>
      <c r="D23" s="13" t="str">
        <f>UUIDLOOKUP(G23,'UUID Table'!$C$10:$C$201,'UUID Table'!$E$10:$E$201)</f>
        <v>0000B00700001000800000805F9B34FB</v>
      </c>
      <c r="G23" s="42" t="s">
        <v>387</v>
      </c>
      <c r="H23" s="71" t="s">
        <v>23</v>
      </c>
      <c r="I23" s="71" t="s">
        <v>22</v>
      </c>
      <c r="J23" s="71" t="s">
        <v>23</v>
      </c>
      <c r="K23" s="1" t="s">
        <v>23</v>
      </c>
      <c r="L23" s="69" t="s">
        <v>418</v>
      </c>
    </row>
    <row r="24" spans="1:13" ht="13.5" customHeight="1" x14ac:dyDescent="0.2">
      <c r="A24" s="40">
        <v>80</v>
      </c>
      <c r="B24" s="8" t="str">
        <f t="shared" si="0"/>
        <v>0050</v>
      </c>
      <c r="C24" s="8" t="str">
        <f>UUIDLOOKUP(E24,'UUID Table'!$C$10:$C$201,'UUID Table'!$D$10:$D$201)</f>
        <v>2800</v>
      </c>
      <c r="D24" s="8" t="str">
        <f>UUIDLOOKUP(E24,'UUID Table'!$C$10:$C$201,'UUID Table'!$E$10:$E$201)</f>
        <v>0000280000001000800000805F9B34FB</v>
      </c>
      <c r="E24" s="67" t="s">
        <v>376</v>
      </c>
      <c r="F24" s="8"/>
      <c r="G24" s="8"/>
      <c r="H24" s="8" t="s">
        <v>22</v>
      </c>
      <c r="I24" s="8" t="s">
        <v>23</v>
      </c>
      <c r="J24" s="8" t="s">
        <v>23</v>
      </c>
      <c r="K24" s="8" t="s">
        <v>23</v>
      </c>
      <c r="L24" s="10" t="str">
        <f>"{Service=0x"&amp;TEXT('UUID Table'!$D$145,"0000")&amp;" (""Service B.3"")}"</f>
        <v>{Service=0xA00B ("Service B.3")}</v>
      </c>
      <c r="M24" s="10"/>
    </row>
    <row r="25" spans="1:13" x14ac:dyDescent="0.2">
      <c r="A25" s="35">
        <f>A24+1</f>
        <v>81</v>
      </c>
      <c r="B25" s="5" t="str">
        <f t="shared" si="0"/>
        <v>0051</v>
      </c>
      <c r="C25" s="5" t="str">
        <f>UUIDLOOKUP(F25,'UUID Table'!$C$10:$C$201,'UUID Table'!$D$10:$D$201)</f>
        <v>2803</v>
      </c>
      <c r="D25" s="5" t="str">
        <f>UUIDLOOKUP(F25,'UUID Table'!$C$10:$C$201,'UUID Table'!$E$10:$E$201)</f>
        <v>0000280300001000800000805F9B34FB</v>
      </c>
      <c r="E25" s="6" t="s">
        <v>1</v>
      </c>
      <c r="F25" s="6" t="s">
        <v>32</v>
      </c>
      <c r="G25" s="6"/>
      <c r="H25" s="30" t="s">
        <v>22</v>
      </c>
      <c r="I25" s="30" t="s">
        <v>23</v>
      </c>
      <c r="J25" s="72" t="s">
        <v>23</v>
      </c>
      <c r="K25" s="30" t="s">
        <v>23</v>
      </c>
      <c r="L25" s="7" t="str">
        <f>"{properties=0x3E, handle=0x"&amp;TEXT(B26,"0000")&amp;", UUID=0x"&amp;TEXT(C26,"0000")&amp;"}"</f>
        <v>{properties=0x3E, handle=0x0052, UUID=0xB006}</v>
      </c>
      <c r="M25" s="7" t="s">
        <v>420</v>
      </c>
    </row>
    <row r="26" spans="1:13" x14ac:dyDescent="0.2">
      <c r="A26" s="26">
        <f>A25+1</f>
        <v>82</v>
      </c>
      <c r="B26" s="1" t="str">
        <f t="shared" si="0"/>
        <v>0052</v>
      </c>
      <c r="C26" s="13" t="str">
        <f>UUIDLOOKUP(G26,'UUID Table'!$C$10:$C$201,'UUID Table'!$D$10:$D$201)</f>
        <v>B006</v>
      </c>
      <c r="D26" s="13" t="str">
        <f>UUIDLOOKUP(G26,'UUID Table'!$C$10:$C$201,'UUID Table'!$E$10:$E$201)</f>
        <v>0000B00600001000800000805F9B34FB</v>
      </c>
      <c r="G26" s="42" t="s">
        <v>386</v>
      </c>
      <c r="H26" s="1" t="s">
        <v>22</v>
      </c>
      <c r="I26" s="71" t="s">
        <v>22</v>
      </c>
      <c r="J26" s="71" t="s">
        <v>22</v>
      </c>
      <c r="K26" s="71" t="s">
        <v>22</v>
      </c>
      <c r="L26" s="69" t="s">
        <v>417</v>
      </c>
    </row>
    <row r="27" spans="1:13" x14ac:dyDescent="0.2">
      <c r="A27" s="40">
        <v>96</v>
      </c>
      <c r="B27" s="8" t="str">
        <f t="shared" si="0"/>
        <v>0060</v>
      </c>
      <c r="C27" s="8" t="str">
        <f>UUIDLOOKUP(E27,'UUID Table'!$C$10:$C$201,'UUID Table'!$D$10:$D$201)</f>
        <v>2800</v>
      </c>
      <c r="D27" s="8" t="str">
        <f>UUIDLOOKUP(E27,'UUID Table'!$C$10:$C$201,'UUID Table'!$E$10:$E$201)</f>
        <v>0000280000001000800000805F9B34FB</v>
      </c>
      <c r="E27" s="67" t="s">
        <v>376</v>
      </c>
      <c r="F27" s="9"/>
      <c r="G27" s="9"/>
      <c r="H27" s="29" t="s">
        <v>22</v>
      </c>
      <c r="I27" s="29" t="s">
        <v>23</v>
      </c>
      <c r="J27" s="95" t="s">
        <v>23</v>
      </c>
      <c r="K27" s="29" t="s">
        <v>23</v>
      </c>
      <c r="L27" s="10" t="str">
        <f>"{Service=0x"&amp;TEXT('UUID Table'!$D$132,"0000")&amp;" (""Generic Access Profile"")}"</f>
        <v>{Service=0x1800 ("Generic Access Profile")}</v>
      </c>
      <c r="M27" s="10"/>
    </row>
    <row r="28" spans="1:13" x14ac:dyDescent="0.2">
      <c r="A28" s="34">
        <f t="shared" ref="A28:A33" si="1">A27+1</f>
        <v>97</v>
      </c>
      <c r="B28" s="5" t="str">
        <f t="shared" si="0"/>
        <v>0061</v>
      </c>
      <c r="C28" s="5" t="str">
        <f>UUIDLOOKUP(F28,'UUID Table'!$C$10:$C$201,'UUID Table'!$D$10:$D$201)</f>
        <v>2803</v>
      </c>
      <c r="D28" s="5" t="str">
        <f>UUIDLOOKUP(F28,'UUID Table'!$C$10:$C$201,'UUID Table'!$E$10:$E$201)</f>
        <v>0000280300001000800000805F9B34FB</v>
      </c>
      <c r="E28" s="6"/>
      <c r="F28" s="6" t="s">
        <v>32</v>
      </c>
      <c r="G28" s="6"/>
      <c r="H28" s="30" t="s">
        <v>22</v>
      </c>
      <c r="I28" s="30" t="s">
        <v>23</v>
      </c>
      <c r="J28" s="30" t="s">
        <v>23</v>
      </c>
      <c r="K28" s="30" t="s">
        <v>23</v>
      </c>
      <c r="L28" s="7" t="str">
        <f>"{properties=0x02, handle=0x"&amp;TEXT(B29,"0000")&amp;", UUID=0x"&amp;TEXT(C29,"0000")&amp;"}"</f>
        <v>{properties=0x02, handle=0x0062, UUID=0x2A00}</v>
      </c>
      <c r="M28" s="7"/>
    </row>
    <row r="29" spans="1:13" x14ac:dyDescent="0.2">
      <c r="A29" s="26">
        <f t="shared" si="1"/>
        <v>98</v>
      </c>
      <c r="B29" s="1" t="str">
        <f t="shared" si="0"/>
        <v>0062</v>
      </c>
      <c r="C29" s="13" t="str">
        <f>UUIDLOOKUP(G29,'UUID Table'!$C$10:$C$201,'UUID Table'!$D$10:$D$201)</f>
        <v>2A00</v>
      </c>
      <c r="D29" s="13" t="str">
        <f>UUIDLOOKUP(G29,'UUID Table'!$C$10:$C$201,'UUID Table'!$E$10:$E$201)</f>
        <v>00002A0000001000800000805F9B34FB</v>
      </c>
      <c r="E29" s="23"/>
      <c r="F29" s="23"/>
      <c r="G29" s="42" t="s">
        <v>2</v>
      </c>
      <c r="H29" s="1" t="s">
        <v>22</v>
      </c>
      <c r="I29" s="1" t="s">
        <v>23</v>
      </c>
      <c r="J29" s="1" t="s">
        <v>23</v>
      </c>
      <c r="K29" s="1" t="s">
        <v>23</v>
      </c>
      <c r="L29" s="65" t="s">
        <v>486</v>
      </c>
    </row>
    <row r="30" spans="1:13" x14ac:dyDescent="0.2">
      <c r="A30" s="34">
        <f t="shared" si="1"/>
        <v>99</v>
      </c>
      <c r="B30" s="5" t="str">
        <f t="shared" si="0"/>
        <v>0063</v>
      </c>
      <c r="C30" s="5" t="str">
        <f>UUIDLOOKUP(F30,'UUID Table'!$C$10:$C$201,'UUID Table'!$D$10:$D$201)</f>
        <v>2803</v>
      </c>
      <c r="D30" s="5"/>
      <c r="E30" s="6"/>
      <c r="F30" s="6" t="s">
        <v>32</v>
      </c>
      <c r="G30" s="6"/>
      <c r="H30" s="30" t="s">
        <v>22</v>
      </c>
      <c r="I30" s="30" t="s">
        <v>23</v>
      </c>
      <c r="J30" s="30" t="s">
        <v>23</v>
      </c>
      <c r="K30" s="30" t="s">
        <v>23</v>
      </c>
      <c r="L30" s="7" t="str">
        <f>"{properties=0x02, handle=0x"&amp;TEXT(B31,"0000")&amp;", UUID=0x"&amp;TEXT(C31,"0000")&amp;"}"</f>
        <v>{properties=0x02, handle=0x0064, UUID=0x2A01}</v>
      </c>
      <c r="M30" s="7"/>
    </row>
    <row r="31" spans="1:13" x14ac:dyDescent="0.2">
      <c r="A31" s="26">
        <f t="shared" si="1"/>
        <v>100</v>
      </c>
      <c r="B31" s="1" t="str">
        <f t="shared" si="0"/>
        <v>0064</v>
      </c>
      <c r="C31" s="13" t="str">
        <f>UUIDLOOKUP(G31,'UUID Table'!$C$10:$C$201,'UUID Table'!$D$10:$D$201)</f>
        <v>2A01</v>
      </c>
      <c r="D31" s="13" t="str">
        <f>UUIDLOOKUP(G31,'UUID Table'!$C$10:$C$201,'UUID Table'!$E$10:$E$201)</f>
        <v>00002A0100001000800000805F9B34FB</v>
      </c>
      <c r="E31" s="23"/>
      <c r="F31" s="23"/>
      <c r="G31" s="42" t="s">
        <v>374</v>
      </c>
      <c r="H31" s="1" t="s">
        <v>22</v>
      </c>
      <c r="I31" s="1" t="s">
        <v>23</v>
      </c>
      <c r="J31" s="1" t="s">
        <v>23</v>
      </c>
      <c r="K31" s="1" t="s">
        <v>23</v>
      </c>
      <c r="L31" s="36">
        <v>17</v>
      </c>
    </row>
    <row r="32" spans="1:13" x14ac:dyDescent="0.2">
      <c r="A32" s="35">
        <f t="shared" si="1"/>
        <v>101</v>
      </c>
      <c r="B32" s="5" t="str">
        <f t="shared" si="0"/>
        <v>0065</v>
      </c>
      <c r="C32" s="5" t="str">
        <f>UUIDLOOKUP(F32,'UUID Table'!$C$10:$C$201,'UUID Table'!$D$10:$D$201)</f>
        <v>2803</v>
      </c>
      <c r="D32" s="5"/>
      <c r="E32" s="6"/>
      <c r="F32" s="6" t="s">
        <v>32</v>
      </c>
      <c r="G32" s="6"/>
      <c r="H32" s="30" t="s">
        <v>22</v>
      </c>
      <c r="I32" s="30" t="s">
        <v>23</v>
      </c>
      <c r="J32" s="30" t="s">
        <v>23</v>
      </c>
      <c r="K32" s="30" t="s">
        <v>23</v>
      </c>
      <c r="L32" s="7" t="str">
        <f>"{properties=0x02, handle=0x"&amp;TEXT(B33,"0000")&amp;", UUID=0x"&amp;TEXT(C33,"0000")&amp;"}"</f>
        <v>{properties=0x02, handle=0x0066, UUID=0x2A04}</v>
      </c>
      <c r="M32" s="7"/>
    </row>
    <row r="33" spans="1:13" ht="25.5" x14ac:dyDescent="0.2">
      <c r="A33" s="26">
        <f t="shared" si="1"/>
        <v>102</v>
      </c>
      <c r="B33" s="1" t="str">
        <f t="shared" si="0"/>
        <v>0066</v>
      </c>
      <c r="C33" s="13" t="str">
        <f>UUIDLOOKUP(G33,'UUID Table'!$C$10:$C$201,'UUID Table'!$D$10:$D$201)</f>
        <v>2A04</v>
      </c>
      <c r="D33" s="13" t="str">
        <f>UUIDLOOKUP(G33,'UUID Table'!$C$10:$C$201,'UUID Table'!$E$10:$E$201)</f>
        <v>00002A0400001000800000805F9B34FB</v>
      </c>
      <c r="E33" s="23"/>
      <c r="F33" s="23"/>
      <c r="G33" s="42" t="s">
        <v>375</v>
      </c>
      <c r="H33" s="1" t="s">
        <v>22</v>
      </c>
      <c r="I33" s="1" t="s">
        <v>23</v>
      </c>
      <c r="J33" s="1" t="s">
        <v>23</v>
      </c>
      <c r="K33" s="1" t="s">
        <v>23</v>
      </c>
      <c r="L33" s="69" t="s">
        <v>378</v>
      </c>
      <c r="M33" s="65"/>
    </row>
    <row r="34" spans="1:13" x14ac:dyDescent="0.2">
      <c r="A34" s="40">
        <v>112</v>
      </c>
      <c r="B34" s="8" t="str">
        <f t="shared" si="0"/>
        <v>0070</v>
      </c>
      <c r="C34" s="8" t="str">
        <f>UUIDLOOKUP(E34,'UUID Table'!$C$10:$C$201,'UUID Table'!$D$10:$D$201)</f>
        <v>2800</v>
      </c>
      <c r="D34" s="8" t="str">
        <f>UUIDLOOKUP(E34,'UUID Table'!$C$10:$C$201,'UUID Table'!$E$10:$E$201)</f>
        <v>0000280000001000800000805F9B34FB</v>
      </c>
      <c r="E34" s="67" t="s">
        <v>376</v>
      </c>
      <c r="F34" s="8"/>
      <c r="G34" s="8"/>
      <c r="H34" s="8" t="s">
        <v>22</v>
      </c>
      <c r="I34" s="8" t="s">
        <v>23</v>
      </c>
      <c r="J34" s="8" t="s">
        <v>23</v>
      </c>
      <c r="K34" s="8" t="s">
        <v>23</v>
      </c>
      <c r="L34" s="10" t="str">
        <f>"{Service=0x"&amp;TEXT('UUID Table'!$D$138,"0000")&amp;" (""Service A"")}"</f>
        <v>{Service=0xA00A ("Service A")}</v>
      </c>
      <c r="M34" s="10"/>
    </row>
    <row r="35" spans="1:13" x14ac:dyDescent="0.2">
      <c r="A35" s="104">
        <f>A34+1</f>
        <v>113</v>
      </c>
      <c r="B35" s="105" t="str">
        <f>DEC2HEX(A35,4)</f>
        <v>0071</v>
      </c>
      <c r="C35" s="105" t="str">
        <f>UUIDLOOKUP(G35,'UUID Table'!$C$10:$C$201,'UUID Table'!$D$10:$D$201)</f>
        <v>2802</v>
      </c>
      <c r="D35" s="105"/>
      <c r="E35" s="106"/>
      <c r="F35" s="105"/>
      <c r="G35" s="107" t="s">
        <v>348</v>
      </c>
      <c r="H35" s="108" t="s">
        <v>22</v>
      </c>
      <c r="I35" s="108" t="s">
        <v>23</v>
      </c>
      <c r="J35" s="108" t="s">
        <v>23</v>
      </c>
      <c r="K35" s="108" t="s">
        <v>23</v>
      </c>
      <c r="L35" s="109" t="str">
        <f>"{handle=0x"&amp;TEXT(B12,"0000")&amp;", end group handle=0x"&amp;TEXT(B17,"0000")&amp;", UUID=0x"&amp;TEXT('UUID Table'!$D$160,"0000")&amp;"}"</f>
        <v>{handle=0x0020, end group handle=0x0025, UUID=0xA00D}</v>
      </c>
      <c r="M35" s="103"/>
    </row>
    <row r="36" spans="1:13" s="110" customFormat="1" x14ac:dyDescent="0.2">
      <c r="A36" s="104">
        <f>A35+1</f>
        <v>114</v>
      </c>
      <c r="B36" s="105" t="str">
        <f>DEC2HEX(A36,4)</f>
        <v>0072</v>
      </c>
      <c r="C36" s="105" t="str">
        <f>UUIDLOOKUP(G36,'UUID Table'!$C$10:$C$201,'UUID Table'!$D$10:$D$201)</f>
        <v>2802</v>
      </c>
      <c r="D36" s="105"/>
      <c r="E36" s="106"/>
      <c r="F36" s="105"/>
      <c r="G36" s="107" t="s">
        <v>348</v>
      </c>
      <c r="H36" s="108" t="s">
        <v>22</v>
      </c>
      <c r="I36" s="108" t="s">
        <v>23</v>
      </c>
      <c r="J36" s="108" t="s">
        <v>23</v>
      </c>
      <c r="K36" s="108" t="s">
        <v>23</v>
      </c>
      <c r="L36" s="109" t="str">
        <f>"{handle=0x"&amp;TEXT(B43,"0000")&amp;", end group handle=0x"&amp;TEXT(B48,"0000")&amp;"}"</f>
        <v>{handle=0x0080, end group handle=0x0085}</v>
      </c>
      <c r="M36" s="109"/>
    </row>
    <row r="37" spans="1:13" x14ac:dyDescent="0.2">
      <c r="A37" s="35">
        <f>A36+1</f>
        <v>115</v>
      </c>
      <c r="B37" s="5" t="str">
        <f t="shared" si="0"/>
        <v>0073</v>
      </c>
      <c r="C37" s="5" t="str">
        <f>UUIDLOOKUP(F37,'UUID Table'!$C$10:$C$201,'UUID Table'!$D$10:$D$201)</f>
        <v>2803</v>
      </c>
      <c r="D37" s="5" t="str">
        <f>UUIDLOOKUP(F37,'UUID Table'!$C$10:$C$201,'UUID Table'!$E$10:$E$201)</f>
        <v>0000280300001000800000805F9B34FB</v>
      </c>
      <c r="E37" s="6" t="s">
        <v>1</v>
      </c>
      <c r="F37" s="6" t="s">
        <v>32</v>
      </c>
      <c r="G37" s="6"/>
      <c r="H37" s="30" t="s">
        <v>22</v>
      </c>
      <c r="I37" s="30" t="s">
        <v>23</v>
      </c>
      <c r="J37" s="30" t="s">
        <v>23</v>
      </c>
      <c r="K37" s="30" t="s">
        <v>23</v>
      </c>
      <c r="L37" s="7" t="str">
        <f>"{properties=0x02, handle=0x"&amp;TEXT(B38,"0000")&amp;", UUID=0x"&amp;TEXT(C38,"0000")&amp;"}"</f>
        <v>{properties=0x02, handle=0x0074, UUID=0xB001}</v>
      </c>
      <c r="M37" s="7"/>
    </row>
    <row r="38" spans="1:13" x14ac:dyDescent="0.2">
      <c r="A38" s="26">
        <f t="shared" ref="A38:A42" si="2">A37+1</f>
        <v>116</v>
      </c>
      <c r="B38" s="1" t="str">
        <f t="shared" si="0"/>
        <v>0074</v>
      </c>
      <c r="C38" s="13" t="str">
        <f>UUIDLOOKUP(G38,'UUID Table'!$C$10:$C$201,'UUID Table'!$D$10:$D$201)</f>
        <v>B001</v>
      </c>
      <c r="D38" s="13" t="str">
        <f>UUIDLOOKUP(G38,'UUID Table'!$C$10:$C$201,'UUID Table'!$E$10:$E$201)</f>
        <v>0000B00100001000800000805F9B34FB</v>
      </c>
      <c r="G38" s="42" t="s">
        <v>381</v>
      </c>
      <c r="H38" s="1" t="s">
        <v>22</v>
      </c>
      <c r="I38" s="1" t="s">
        <v>23</v>
      </c>
      <c r="J38" s="1" t="s">
        <v>23</v>
      </c>
      <c r="K38" s="1" t="s">
        <v>23</v>
      </c>
      <c r="L38" s="69" t="s">
        <v>407</v>
      </c>
    </row>
    <row r="39" spans="1:13" x14ac:dyDescent="0.2">
      <c r="A39" s="35">
        <f t="shared" si="2"/>
        <v>117</v>
      </c>
      <c r="B39" s="5" t="str">
        <f t="shared" si="0"/>
        <v>0075</v>
      </c>
      <c r="C39" s="5" t="str">
        <f>UUIDLOOKUP(F39,'UUID Table'!$C$10:$C$201,'UUID Table'!$D$10:$D$201)</f>
        <v>2803</v>
      </c>
      <c r="D39" s="5" t="str">
        <f>UUIDLOOKUP(F39,'UUID Table'!$C$10:$C$201,'UUID Table'!$E$10:$E$201)</f>
        <v>0000280300001000800000805F9B34FB</v>
      </c>
      <c r="E39" s="6" t="s">
        <v>1</v>
      </c>
      <c r="F39" s="6" t="s">
        <v>32</v>
      </c>
      <c r="G39" s="6"/>
      <c r="H39" s="30" t="s">
        <v>22</v>
      </c>
      <c r="I39" s="30" t="s">
        <v>23</v>
      </c>
      <c r="J39" s="30" t="s">
        <v>23</v>
      </c>
      <c r="K39" s="30" t="s">
        <v>23</v>
      </c>
      <c r="L39" s="7" t="str">
        <f>"{properties=0x0A, handle=0x"&amp;TEXT(B40,"0000")&amp;", UUID=0x"&amp;TEXT(C40,"0000")&amp;"}"</f>
        <v>{properties=0x0A, handle=0x0076, UUID=0xB002}</v>
      </c>
      <c r="M39" s="7"/>
    </row>
    <row r="40" spans="1:13" x14ac:dyDescent="0.2">
      <c r="A40" s="26">
        <f t="shared" si="2"/>
        <v>118</v>
      </c>
      <c r="B40" s="1" t="str">
        <f t="shared" si="0"/>
        <v>0076</v>
      </c>
      <c r="C40" s="13" t="str">
        <f>UUIDLOOKUP(G40,'UUID Table'!$C$10:$C$201,'UUID Table'!$D$10:$D$201)</f>
        <v>B002</v>
      </c>
      <c r="D40" s="13" t="str">
        <f>UUIDLOOKUP(G40,'UUID Table'!$C$10:$C$201,'UUID Table'!$E$10:$E$201)</f>
        <v>0000B00200001000800000805F9B34FB</v>
      </c>
      <c r="G40" s="42" t="s">
        <v>382</v>
      </c>
      <c r="H40" s="1" t="s">
        <v>22</v>
      </c>
      <c r="I40" s="71" t="s">
        <v>22</v>
      </c>
      <c r="J40" s="71" t="s">
        <v>23</v>
      </c>
      <c r="K40" s="1" t="s">
        <v>23</v>
      </c>
      <c r="L40" s="69" t="s">
        <v>408</v>
      </c>
      <c r="M40" s="68" t="s">
        <v>409</v>
      </c>
    </row>
    <row r="41" spans="1:13" x14ac:dyDescent="0.2">
      <c r="A41" s="35">
        <f t="shared" si="2"/>
        <v>119</v>
      </c>
      <c r="B41" s="5" t="str">
        <f t="shared" si="0"/>
        <v>0077</v>
      </c>
      <c r="C41" s="5" t="str">
        <f>UUIDLOOKUP(F41,'UUID Table'!$C$10:$C$201,'UUID Table'!$D$10:$D$201)</f>
        <v>2803</v>
      </c>
      <c r="D41" s="5" t="str">
        <f>UUIDLOOKUP(F41,'UUID Table'!$C$10:$C$201,'UUID Table'!$E$10:$E$201)</f>
        <v>0000280300001000800000805F9B34FB</v>
      </c>
      <c r="E41" s="6" t="s">
        <v>1</v>
      </c>
      <c r="F41" s="6" t="s">
        <v>32</v>
      </c>
      <c r="G41" s="6"/>
      <c r="H41" s="30" t="s">
        <v>22</v>
      </c>
      <c r="I41" s="30" t="s">
        <v>23</v>
      </c>
      <c r="J41" s="30" t="s">
        <v>23</v>
      </c>
      <c r="K41" s="30" t="s">
        <v>23</v>
      </c>
      <c r="L41" s="7" t="str">
        <f>"{properties=0x08, handle=0x"&amp;TEXT(B42,"0000")&amp;", UUID=0x"&amp;TEXT(C42,"0000")&amp;"}"</f>
        <v>{properties=0x08, handle=0x0078, UUID=0xB003}</v>
      </c>
      <c r="M41" s="7"/>
    </row>
    <row r="42" spans="1:13" x14ac:dyDescent="0.2">
      <c r="A42" s="26">
        <f t="shared" si="2"/>
        <v>120</v>
      </c>
      <c r="B42" s="1" t="str">
        <f t="shared" si="0"/>
        <v>0078</v>
      </c>
      <c r="C42" s="13" t="str">
        <f>UUIDLOOKUP(G42,'UUID Table'!$C$10:$C$201,'UUID Table'!$D$10:$D$201)</f>
        <v>B003</v>
      </c>
      <c r="D42" s="13" t="str">
        <f>UUIDLOOKUP(G42,'UUID Table'!$C$10:$C$201,'UUID Table'!$E$10:$E$201)</f>
        <v>0000B00300001000800000805F9B34FB</v>
      </c>
      <c r="G42" s="42" t="s">
        <v>383</v>
      </c>
      <c r="H42" s="71" t="s">
        <v>23</v>
      </c>
      <c r="I42" s="71" t="s">
        <v>22</v>
      </c>
      <c r="J42" s="71" t="s">
        <v>23</v>
      </c>
      <c r="K42" s="1" t="s">
        <v>23</v>
      </c>
      <c r="L42" s="69" t="s">
        <v>410</v>
      </c>
    </row>
    <row r="43" spans="1:13" x14ac:dyDescent="0.2">
      <c r="A43" s="40">
        <v>128</v>
      </c>
      <c r="B43" s="8" t="str">
        <f t="shared" si="0"/>
        <v>0080</v>
      </c>
      <c r="C43" s="8" t="str">
        <f>UUIDLOOKUP(E43,'UUID Table'!$C$10:$C$201,'UUID Table'!$D$10:$D$201)</f>
        <v>2800</v>
      </c>
      <c r="D43" s="8" t="str">
        <f>UUIDLOOKUP(E43,'UUID Table'!$C$10:$C$201,'UUID Table'!$E$10:$E$201)</f>
        <v>0000280000001000800000805F9B34FB</v>
      </c>
      <c r="E43" s="67" t="s">
        <v>376</v>
      </c>
      <c r="F43" s="8"/>
      <c r="G43" s="8"/>
      <c r="H43" s="8" t="s">
        <v>22</v>
      </c>
      <c r="I43" s="8" t="s">
        <v>23</v>
      </c>
      <c r="J43" s="8" t="s">
        <v>23</v>
      </c>
      <c r="K43" s="8" t="s">
        <v>23</v>
      </c>
      <c r="L43" s="10" t="str">
        <f>"{Service=0x"&amp;TEXT('UUID Table'!$E$155,"0000")&amp;" (""Service C.1"")}"</f>
        <v>{Service=0x0000A00C000000000123456789ABCDEF ("Service C.1")}</v>
      </c>
      <c r="M43" s="10"/>
    </row>
    <row r="44" spans="1:13" x14ac:dyDescent="0.2">
      <c r="A44" s="35">
        <f>A43+1</f>
        <v>129</v>
      </c>
      <c r="B44" s="5" t="str">
        <f t="shared" si="0"/>
        <v>0081</v>
      </c>
      <c r="C44" s="5" t="str">
        <f>UUIDLOOKUP(F44,'UUID Table'!$C$10:$C$201,'UUID Table'!$D$10:$D$201)</f>
        <v>2803</v>
      </c>
      <c r="D44" s="5" t="str">
        <f>UUIDLOOKUP(F44,'UUID Table'!$C$10:$C$201,'UUID Table'!$E$10:$E$201)</f>
        <v>0000280300001000800000805F9B34FB</v>
      </c>
      <c r="E44" s="6" t="s">
        <v>1</v>
      </c>
      <c r="F44" s="6" t="s">
        <v>32</v>
      </c>
      <c r="G44" s="6"/>
      <c r="H44" s="30" t="s">
        <v>22</v>
      </c>
      <c r="I44" s="30" t="s">
        <v>23</v>
      </c>
      <c r="J44" s="30" t="s">
        <v>23</v>
      </c>
      <c r="K44" s="30" t="s">
        <v>23</v>
      </c>
      <c r="L44" s="7" t="str">
        <f>"{properties=0x8A, handle=0x"&amp;TEXT(B45,"0000")&amp;", UUID=0x"&amp;TEXT(C45,"0000")&amp;"}"</f>
        <v>{properties=0x8A, handle=0x0082, UUID=0x0000B009000000000123456789ABCDEF}</v>
      </c>
      <c r="M44" s="7"/>
    </row>
    <row r="45" spans="1:13" x14ac:dyDescent="0.2">
      <c r="A45" s="26">
        <f t="shared" ref="A45:A48" si="3">A44+1</f>
        <v>130</v>
      </c>
      <c r="B45" s="1" t="str">
        <f t="shared" si="0"/>
        <v>0082</v>
      </c>
      <c r="C45" s="13" t="str">
        <f>UUIDLOOKUP(G45,'UUID Table'!$C$10:$C$201,'UUID Table'!$E$10:$E$201)</f>
        <v>0000B009000000000123456789ABCDEF</v>
      </c>
      <c r="D45" s="13" t="str">
        <f>UUIDLOOKUP(G45,'UUID Table'!$C$10:$C$201,'UUID Table'!$E$10:$E$201)</f>
        <v>0000B009000000000123456789ABCDEF</v>
      </c>
      <c r="G45" s="42" t="s">
        <v>394</v>
      </c>
      <c r="H45" s="1" t="s">
        <v>22</v>
      </c>
      <c r="I45" s="71" t="s">
        <v>22</v>
      </c>
      <c r="J45" s="71" t="s">
        <v>23</v>
      </c>
      <c r="K45" s="1" t="s">
        <v>23</v>
      </c>
      <c r="L45" s="69" t="s">
        <v>421</v>
      </c>
    </row>
    <row r="46" spans="1:13" x14ac:dyDescent="0.2">
      <c r="A46" s="54">
        <f t="shared" si="3"/>
        <v>131</v>
      </c>
      <c r="B46" s="13" t="str">
        <f t="shared" si="0"/>
        <v>0083</v>
      </c>
      <c r="C46" s="13" t="str">
        <f>UUIDLOOKUP(G46,'UUID Table'!$C$10:$C$201,'UUID Table'!$E$10:$E$201)</f>
        <v>0000D9D2000000000123456789ABCDEF</v>
      </c>
      <c r="D46" s="13" t="str">
        <f>UUIDLOOKUP(G46,'UUID Table'!$C$10:$C$201,'UUID Table'!$E$10:$E$201)</f>
        <v>0000D9D2000000000123456789ABCDEF</v>
      </c>
      <c r="G46" s="68" t="s">
        <v>423</v>
      </c>
      <c r="H46" s="27" t="s">
        <v>22</v>
      </c>
      <c r="I46" s="73" t="s">
        <v>22</v>
      </c>
      <c r="J46" s="73" t="s">
        <v>23</v>
      </c>
      <c r="K46" s="27" t="s">
        <v>23</v>
      </c>
      <c r="L46" s="65" t="s">
        <v>424</v>
      </c>
      <c r="M46" s="68" t="s">
        <v>425</v>
      </c>
    </row>
    <row r="47" spans="1:13" x14ac:dyDescent="0.2">
      <c r="A47" s="26">
        <f t="shared" si="3"/>
        <v>132</v>
      </c>
      <c r="B47" s="13" t="str">
        <f t="shared" si="0"/>
        <v>0084</v>
      </c>
      <c r="C47" s="13" t="str">
        <f>UUIDLOOKUP(G47,'UUID Table'!$C$10:$C$201,'UUID Table'!$D$10:$D$201)</f>
        <v>2900</v>
      </c>
      <c r="D47" s="13" t="str">
        <f>UUIDLOOKUP(G47,'UUID Table'!$C$10:$C$201,'UUID Table'!$E$10:$E$201)</f>
        <v>0000290000001000800000805F9B34FB</v>
      </c>
      <c r="G47" s="3" t="s">
        <v>349</v>
      </c>
      <c r="H47" s="27" t="s">
        <v>22</v>
      </c>
      <c r="I47" s="27" t="s">
        <v>23</v>
      </c>
      <c r="J47" s="73" t="s">
        <v>23</v>
      </c>
      <c r="K47" s="27" t="s">
        <v>23</v>
      </c>
      <c r="L47" s="65" t="s">
        <v>352</v>
      </c>
      <c r="M47" s="68" t="s">
        <v>422</v>
      </c>
    </row>
    <row r="48" spans="1:13" x14ac:dyDescent="0.2">
      <c r="A48" s="26">
        <f t="shared" si="3"/>
        <v>133</v>
      </c>
      <c r="B48" s="13" t="str">
        <f t="shared" si="0"/>
        <v>0085</v>
      </c>
      <c r="C48" s="13" t="str">
        <f>UUIDLOOKUP(G48,'UUID Table'!$C$10:$C$201,'UUID Table'!$E$10:$E$201)</f>
        <v>0000D9D3000000000123456789ABCDEF</v>
      </c>
      <c r="D48" s="13" t="str">
        <f>UUIDLOOKUP(G48,'UUID Table'!$C$10:$C$201,'UUID Table'!$E$10:$E$201)</f>
        <v>0000D9D3000000000123456789ABCDEF</v>
      </c>
      <c r="G48" s="68" t="s">
        <v>445</v>
      </c>
      <c r="H48" s="73" t="s">
        <v>23</v>
      </c>
      <c r="I48" s="73" t="s">
        <v>22</v>
      </c>
      <c r="J48" s="73" t="s">
        <v>23</v>
      </c>
      <c r="K48" s="27" t="s">
        <v>23</v>
      </c>
      <c r="L48" s="65" t="s">
        <v>447</v>
      </c>
      <c r="M48" s="68" t="s">
        <v>448</v>
      </c>
    </row>
    <row r="49" spans="1:13" x14ac:dyDescent="0.2">
      <c r="A49" s="40">
        <v>144</v>
      </c>
      <c r="B49" s="8" t="str">
        <f t="shared" ref="B49:B55" si="4">DEC2HEX(A49,4)</f>
        <v>0090</v>
      </c>
      <c r="C49" s="8" t="str">
        <f>UUIDLOOKUP(E49,'UUID Table'!$C$10:$C$201,'UUID Table'!$D$10:$D$201)</f>
        <v>2800</v>
      </c>
      <c r="D49" s="8" t="str">
        <f>UUIDLOOKUP(E49,'UUID Table'!$C$10:$C$201,'UUID Table'!$E$10:$E$201)</f>
        <v>0000280000001000800000805F9B34FB</v>
      </c>
      <c r="E49" s="67" t="s">
        <v>376</v>
      </c>
      <c r="F49" s="8"/>
      <c r="G49" s="8"/>
      <c r="H49" s="8" t="s">
        <v>22</v>
      </c>
      <c r="I49" s="8" t="s">
        <v>23</v>
      </c>
      <c r="J49" s="8" t="s">
        <v>23</v>
      </c>
      <c r="K49" s="8" t="s">
        <v>23</v>
      </c>
      <c r="L49" s="10" t="str">
        <f>"{Service=0x"&amp;TEXT('UUID Table'!$D$145,"0000")&amp;" (""Service B.2"")}"</f>
        <v>{Service=0xA00B ("Service B.2")}</v>
      </c>
      <c r="M49" s="10"/>
    </row>
    <row r="50" spans="1:13" x14ac:dyDescent="0.2">
      <c r="A50" s="35">
        <f t="shared" ref="A50:A55" si="5">A49+1</f>
        <v>145</v>
      </c>
      <c r="B50" s="5" t="str">
        <f t="shared" si="4"/>
        <v>0091</v>
      </c>
      <c r="C50" s="5" t="str">
        <f>UUIDLOOKUP(F50,'UUID Table'!$C$10:$C$201,'UUID Table'!$D$10:$D$201)</f>
        <v>2803</v>
      </c>
      <c r="D50" s="5" t="str">
        <f>UUIDLOOKUP(F50,'UUID Table'!$C$10:$C$201,'UUID Table'!$E$10:$E$201)</f>
        <v>0000280300001000800000805F9B34FB</v>
      </c>
      <c r="E50" s="6" t="s">
        <v>1</v>
      </c>
      <c r="F50" s="6" t="s">
        <v>32</v>
      </c>
      <c r="G50" s="6"/>
      <c r="H50" s="30" t="s">
        <v>22</v>
      </c>
      <c r="I50" s="72" t="s">
        <v>23</v>
      </c>
      <c r="J50" s="72" t="s">
        <v>23</v>
      </c>
      <c r="K50" s="30" t="s">
        <v>23</v>
      </c>
      <c r="L50" s="7" t="str">
        <f>"{properties=0x8A, handle=0x"&amp;TEXT(B51,"0000")&amp;", UUID=0x"&amp;TEXT(C51,"0000")&amp;"}"</f>
        <v>{properties=0x8A, handle=0x0092, UUID=0xB005}</v>
      </c>
      <c r="M50" s="7"/>
    </row>
    <row r="51" spans="1:13" x14ac:dyDescent="0.2">
      <c r="A51" s="26">
        <f t="shared" si="5"/>
        <v>146</v>
      </c>
      <c r="B51" s="1" t="str">
        <f t="shared" si="4"/>
        <v>0092</v>
      </c>
      <c r="C51" s="13" t="str">
        <f>UUIDLOOKUP(G51,'UUID Table'!$C$10:$C$201,'UUID Table'!$D$10:$D$201)</f>
        <v>B005</v>
      </c>
      <c r="D51" s="13" t="str">
        <f>UUIDLOOKUP(G51,'UUID Table'!$C$10:$C$201,'UUID Table'!$E$10:$E$201)</f>
        <v>0000B00500001000800000805F9B34FB</v>
      </c>
      <c r="G51" s="42" t="s">
        <v>385</v>
      </c>
      <c r="H51" s="1" t="s">
        <v>22</v>
      </c>
      <c r="I51" s="71" t="s">
        <v>22</v>
      </c>
      <c r="J51" s="71" t="s">
        <v>23</v>
      </c>
      <c r="K51" s="1" t="s">
        <v>23</v>
      </c>
      <c r="L51" s="69" t="s">
        <v>416</v>
      </c>
    </row>
    <row r="52" spans="1:13" x14ac:dyDescent="0.2">
      <c r="A52" s="26">
        <f t="shared" si="5"/>
        <v>147</v>
      </c>
      <c r="B52" s="1" t="str">
        <f>DEC2HEX(A52,4)</f>
        <v>0093</v>
      </c>
      <c r="C52" s="13" t="str">
        <f>UUIDLOOKUP(G52,'UUID Table'!$C$10:$C$201,'UUID Table'!$D$10:$D$201)</f>
        <v>2901</v>
      </c>
      <c r="D52" s="13" t="str">
        <f>UUIDLOOKUP(G52,'UUID Table'!$C$10:$C$201,'UUID Table'!$E$10:$E$201)</f>
        <v>0000290100001000800000805F9B34FB</v>
      </c>
      <c r="G52" s="4" t="s">
        <v>4</v>
      </c>
      <c r="H52" s="1" t="s">
        <v>22</v>
      </c>
      <c r="I52" s="1" t="s">
        <v>22</v>
      </c>
      <c r="J52" s="71" t="s">
        <v>23</v>
      </c>
      <c r="K52" s="1" t="s">
        <v>23</v>
      </c>
      <c r="L52" s="65" t="s">
        <v>413</v>
      </c>
      <c r="M52" s="68" t="s">
        <v>412</v>
      </c>
    </row>
    <row r="53" spans="1:13" x14ac:dyDescent="0.2">
      <c r="A53" s="26">
        <f t="shared" si="5"/>
        <v>148</v>
      </c>
      <c r="B53" s="13" t="str">
        <f>DEC2HEX(A53,4)</f>
        <v>0094</v>
      </c>
      <c r="C53" s="13" t="str">
        <f>UUIDLOOKUP(G53,'UUID Table'!$C$10:$C$201,'UUID Table'!$D$10:$D$201)</f>
        <v>2900</v>
      </c>
      <c r="D53" s="13" t="str">
        <f>UUIDLOOKUP(G53,'UUID Table'!$C$10:$C$201,'UUID Table'!$E$10:$E$201)</f>
        <v>0000290000001000800000805F9B34FB</v>
      </c>
      <c r="G53" s="3" t="s">
        <v>349</v>
      </c>
      <c r="H53" s="27" t="s">
        <v>22</v>
      </c>
      <c r="I53" s="27" t="s">
        <v>23</v>
      </c>
      <c r="J53" s="73" t="s">
        <v>23</v>
      </c>
      <c r="K53" s="27" t="s">
        <v>23</v>
      </c>
      <c r="L53" s="4" t="s">
        <v>351</v>
      </c>
      <c r="M53" s="68" t="s">
        <v>411</v>
      </c>
    </row>
    <row r="54" spans="1:13" x14ac:dyDescent="0.2">
      <c r="A54" s="26">
        <f t="shared" si="5"/>
        <v>149</v>
      </c>
      <c r="B54" s="13" t="str">
        <f>DEC2HEX(A54,4)</f>
        <v>0095</v>
      </c>
      <c r="C54" s="13" t="str">
        <f>UUIDLOOKUP(G54,'UUID Table'!$C$10:$C$201,'UUID Table'!$E$10:$E$201)</f>
        <v>0000D5D4000000000123456789ABCDEF</v>
      </c>
      <c r="D54" s="13" t="str">
        <f>UUIDLOOKUP(G54,'UUID Table'!$C$10:$C$201,'UUID Table'!$E$10:$E$201)</f>
        <v>0000D5D4000000000123456789ABCDEF</v>
      </c>
      <c r="G54" s="68" t="s">
        <v>406</v>
      </c>
      <c r="H54" s="27" t="s">
        <v>22</v>
      </c>
      <c r="I54" s="27" t="s">
        <v>23</v>
      </c>
      <c r="J54" s="27" t="s">
        <v>23</v>
      </c>
      <c r="K54" s="27" t="s">
        <v>23</v>
      </c>
      <c r="L54" s="65" t="s">
        <v>415</v>
      </c>
      <c r="M54" s="68"/>
    </row>
    <row r="55" spans="1:13" x14ac:dyDescent="0.2">
      <c r="A55" s="26">
        <f t="shared" si="5"/>
        <v>150</v>
      </c>
      <c r="B55" s="13" t="str">
        <f t="shared" si="4"/>
        <v>0096</v>
      </c>
      <c r="C55" s="13" t="str">
        <f>UUIDLOOKUP(G55,'UUID Table'!$C$10:$C$201,'UUID Table'!$D$10:$D$201)</f>
        <v>2904</v>
      </c>
      <c r="D55" s="13" t="str">
        <f>UUIDLOOKUP(G55,'UUID Table'!$C$10:$C$201,'UUID Table'!$E$10:$E$201)</f>
        <v>0000290400001000800000805F9B34FB</v>
      </c>
      <c r="G55" s="3" t="s">
        <v>3</v>
      </c>
      <c r="H55" s="27" t="s">
        <v>22</v>
      </c>
      <c r="I55" s="27" t="s">
        <v>23</v>
      </c>
      <c r="J55" s="27" t="s">
        <v>23</v>
      </c>
      <c r="K55" s="27" t="s">
        <v>23</v>
      </c>
      <c r="L55" s="4" t="str">
        <f>"{format=0x04, exp=0x00, unit=0x3001, n_sp=0x01, descr=0x3111}"</f>
        <v>{format=0x04, exp=0x00, unit=0x3001, n_sp=0x01, descr=0x3111}</v>
      </c>
      <c r="M55" s="68" t="s">
        <v>414</v>
      </c>
    </row>
    <row r="56" spans="1:13" x14ac:dyDescent="0.2">
      <c r="A56" s="40">
        <v>160</v>
      </c>
      <c r="B56" s="8" t="str">
        <f t="shared" ref="B56:B71" si="6">DEC2HEX(A56,4)</f>
        <v>00A0</v>
      </c>
      <c r="C56" s="8" t="str">
        <f>UUIDLOOKUP(E56,'UUID Table'!$C$10:$C$201,'UUID Table'!$D$10:$D$201)</f>
        <v>2800</v>
      </c>
      <c r="D56" s="8" t="str">
        <f>UUIDLOOKUP(E56,'UUID Table'!$C$10:$C$201,'UUID Table'!$E$10:$E$201)</f>
        <v>0000280000001000800000805F9B34FB</v>
      </c>
      <c r="E56" s="67" t="s">
        <v>376</v>
      </c>
      <c r="F56" s="8"/>
      <c r="G56" s="8"/>
      <c r="H56" s="8" t="s">
        <v>22</v>
      </c>
      <c r="I56" s="8" t="s">
        <v>23</v>
      </c>
      <c r="J56" s="8" t="s">
        <v>23</v>
      </c>
      <c r="K56" s="8" t="s">
        <v>23</v>
      </c>
      <c r="L56" s="10" t="str">
        <f>"{Service=0x"&amp;TEXT('UUID Table'!$E$155,"0000")&amp;" (""Service C.2"")}"</f>
        <v>{Service=0x0000A00C000000000123456789ABCDEF ("Service C.2")}</v>
      </c>
      <c r="M56" s="10"/>
    </row>
    <row r="57" spans="1:13" x14ac:dyDescent="0.2">
      <c r="A57" s="35">
        <f>A56+1</f>
        <v>161</v>
      </c>
      <c r="B57" s="5" t="str">
        <f t="shared" si="6"/>
        <v>00A1</v>
      </c>
      <c r="C57" s="5" t="str">
        <f>UUIDLOOKUP(F57,'UUID Table'!$C$10:$C$201,'UUID Table'!$D$10:$D$201)</f>
        <v>2803</v>
      </c>
      <c r="D57" s="5" t="str">
        <f>UUIDLOOKUP(F57,'UUID Table'!$C$10:$C$201,'UUID Table'!$E$10:$E$201)</f>
        <v>0000280300001000800000805F9B34FB</v>
      </c>
      <c r="E57" s="6" t="s">
        <v>1</v>
      </c>
      <c r="F57" s="6" t="s">
        <v>32</v>
      </c>
      <c r="G57" s="6"/>
      <c r="H57" s="30" t="s">
        <v>22</v>
      </c>
      <c r="I57" s="30" t="s">
        <v>23</v>
      </c>
      <c r="J57" s="30" t="s">
        <v>23</v>
      </c>
      <c r="K57" s="30" t="s">
        <v>23</v>
      </c>
      <c r="L57" s="7" t="str">
        <f>"{properties=0x02, handle=0x"&amp;TEXT(B58,"0000")&amp;", UUID=0x"&amp;TEXT(C58,"0000")&amp;"}"</f>
        <v>{properties=0x02, handle=0x00A2, UUID=0xB00A}</v>
      </c>
      <c r="M57" s="7"/>
    </row>
    <row r="58" spans="1:13" x14ac:dyDescent="0.2">
      <c r="A58" s="26">
        <f>A57+1</f>
        <v>162</v>
      </c>
      <c r="B58" s="1" t="str">
        <f t="shared" si="6"/>
        <v>00A2</v>
      </c>
      <c r="C58" s="13" t="str">
        <f>UUIDLOOKUP(G58,'UUID Table'!$C$10:$C$201,'UUID Table'!$D$10:$D$201)</f>
        <v>B00A</v>
      </c>
      <c r="D58" s="13" t="str">
        <f>UUIDLOOKUP(G58,'UUID Table'!$C$10:$C$201,'UUID Table'!$E$10:$E$201)</f>
        <v>0000B00A00001000800000805F9B34FB</v>
      </c>
      <c r="G58" s="42" t="s">
        <v>392</v>
      </c>
      <c r="H58" s="1" t="s">
        <v>22</v>
      </c>
      <c r="I58" s="1" t="s">
        <v>23</v>
      </c>
      <c r="J58" s="1" t="s">
        <v>23</v>
      </c>
      <c r="K58" s="1" t="s">
        <v>23</v>
      </c>
      <c r="L58" s="69" t="s">
        <v>428</v>
      </c>
    </row>
    <row r="59" spans="1:13" x14ac:dyDescent="0.2">
      <c r="A59" s="35">
        <f t="shared" ref="A59:A70" si="7">A58+1</f>
        <v>163</v>
      </c>
      <c r="B59" s="5" t="str">
        <f t="shared" si="6"/>
        <v>00A3</v>
      </c>
      <c r="C59" s="5" t="str">
        <f>UUIDLOOKUP(F59,'UUID Table'!$C$10:$C$201,'UUID Table'!$D$10:$D$201)</f>
        <v>2803</v>
      </c>
      <c r="D59" s="5" t="str">
        <f>UUIDLOOKUP(F59,'UUID Table'!$C$10:$C$201,'UUID Table'!$E$10:$E$201)</f>
        <v>0000280300001000800000805F9B34FB</v>
      </c>
      <c r="E59" s="6" t="s">
        <v>1</v>
      </c>
      <c r="F59" s="6" t="s">
        <v>32</v>
      </c>
      <c r="G59" s="6"/>
      <c r="H59" s="30" t="s">
        <v>22</v>
      </c>
      <c r="I59" s="30" t="s">
        <v>23</v>
      </c>
      <c r="J59" s="30" t="s">
        <v>23</v>
      </c>
      <c r="K59" s="30" t="s">
        <v>23</v>
      </c>
      <c r="L59" s="7" t="str">
        <f>"{properties=0x0A, handle=0x"&amp;TEXT(B60,"0000")&amp;", UUID=0x"&amp;TEXT(C60,"0000")&amp;"}"</f>
        <v>{properties=0x0A, handle=0x00A4, UUID=0xB002}</v>
      </c>
      <c r="M59" s="7"/>
    </row>
    <row r="60" spans="1:13" x14ac:dyDescent="0.2">
      <c r="A60" s="26">
        <f t="shared" si="7"/>
        <v>164</v>
      </c>
      <c r="B60" s="1" t="str">
        <f t="shared" si="6"/>
        <v>00A4</v>
      </c>
      <c r="C60" s="13" t="str">
        <f>UUIDLOOKUP(G60,'UUID Table'!$C$10:$C$201,'UUID Table'!$D$10:$D$201)</f>
        <v>B002</v>
      </c>
      <c r="D60" s="13" t="str">
        <f>UUIDLOOKUP(G60,'UUID Table'!$C$10:$C$201,'UUID Table'!$E$10:$E$201)</f>
        <v>0000B00200001000800000805F9B34FB</v>
      </c>
      <c r="G60" s="42" t="s">
        <v>382</v>
      </c>
      <c r="H60" s="1" t="s">
        <v>22</v>
      </c>
      <c r="I60" s="71" t="s">
        <v>22</v>
      </c>
      <c r="J60" s="71" t="s">
        <v>23</v>
      </c>
      <c r="K60" s="1" t="s">
        <v>23</v>
      </c>
      <c r="L60" s="69" t="s">
        <v>450</v>
      </c>
      <c r="M60" s="68" t="s">
        <v>455</v>
      </c>
    </row>
    <row r="61" spans="1:13" x14ac:dyDescent="0.2">
      <c r="A61" s="35">
        <f t="shared" si="7"/>
        <v>165</v>
      </c>
      <c r="B61" s="5" t="str">
        <f t="shared" si="6"/>
        <v>00A5</v>
      </c>
      <c r="C61" s="5" t="str">
        <f>UUIDLOOKUP(F61,'UUID Table'!$C$10:$C$201,'UUID Table'!$D$10:$D$201)</f>
        <v>2803</v>
      </c>
      <c r="D61" s="5" t="str">
        <f>UUIDLOOKUP(F61,'UUID Table'!$C$10:$C$201,'UUID Table'!$E$10:$E$201)</f>
        <v>0000280300001000800000805F9B34FB</v>
      </c>
      <c r="E61" s="6" t="s">
        <v>1</v>
      </c>
      <c r="F61" s="6" t="s">
        <v>32</v>
      </c>
      <c r="G61" s="6"/>
      <c r="H61" s="30" t="s">
        <v>22</v>
      </c>
      <c r="I61" s="30" t="s">
        <v>23</v>
      </c>
      <c r="J61" s="30" t="s">
        <v>23</v>
      </c>
      <c r="K61" s="30" t="s">
        <v>23</v>
      </c>
      <c r="L61" s="7" t="str">
        <f>"{properties=0x0A, handle=0x"&amp;TEXT(B62,"0000")&amp;", UUID=0x"&amp;TEXT(C62,"0000")&amp;"}"</f>
        <v>{properties=0x0A, handle=0x00A6, UUID=0xB002}</v>
      </c>
      <c r="M61" s="7"/>
    </row>
    <row r="62" spans="1:13" x14ac:dyDescent="0.2">
      <c r="A62" s="26">
        <f t="shared" si="7"/>
        <v>166</v>
      </c>
      <c r="B62" s="1" t="str">
        <f t="shared" si="6"/>
        <v>00A6</v>
      </c>
      <c r="C62" s="13" t="str">
        <f>UUIDLOOKUP(G62,'UUID Table'!$C$10:$C$201,'UUID Table'!$D$10:$D$201)</f>
        <v>B002</v>
      </c>
      <c r="D62" s="13" t="str">
        <f>UUIDLOOKUP(G62,'UUID Table'!$C$10:$C$201,'UUID Table'!$E$10:$E$201)</f>
        <v>0000B00200001000800000805F9B34FB</v>
      </c>
      <c r="G62" s="42" t="s">
        <v>382</v>
      </c>
      <c r="H62" s="1" t="s">
        <v>22</v>
      </c>
      <c r="I62" s="71" t="s">
        <v>22</v>
      </c>
      <c r="J62" s="71" t="s">
        <v>23</v>
      </c>
      <c r="K62" s="1" t="s">
        <v>23</v>
      </c>
      <c r="L62" s="69" t="s">
        <v>451</v>
      </c>
      <c r="M62" s="68" t="s">
        <v>460</v>
      </c>
    </row>
    <row r="63" spans="1:13" x14ac:dyDescent="0.2">
      <c r="A63" s="35">
        <f t="shared" si="7"/>
        <v>167</v>
      </c>
      <c r="B63" s="5" t="str">
        <f t="shared" si="6"/>
        <v>00A7</v>
      </c>
      <c r="C63" s="5" t="str">
        <f>UUIDLOOKUP(F63,'UUID Table'!$C$10:$C$201,'UUID Table'!$D$10:$D$201)</f>
        <v>2803</v>
      </c>
      <c r="D63" s="5" t="str">
        <f>UUIDLOOKUP(F63,'UUID Table'!$C$10:$C$201,'UUID Table'!$E$10:$E$201)</f>
        <v>0000280300001000800000805F9B34FB</v>
      </c>
      <c r="E63" s="6" t="s">
        <v>1</v>
      </c>
      <c r="F63" s="6" t="s">
        <v>32</v>
      </c>
      <c r="G63" s="6"/>
      <c r="H63" s="30" t="s">
        <v>22</v>
      </c>
      <c r="I63" s="30" t="s">
        <v>23</v>
      </c>
      <c r="J63" s="30" t="s">
        <v>23</v>
      </c>
      <c r="K63" s="30" t="s">
        <v>23</v>
      </c>
      <c r="L63" s="7" t="str">
        <f>"{properties=0x0A, handle=0x"&amp;TEXT(B64,"0000")&amp;", UUID=0x"&amp;TEXT(C64,"0000")&amp;"}"</f>
        <v>{properties=0x0A, handle=0x00A8, UUID=0xB002}</v>
      </c>
      <c r="M63" s="7"/>
    </row>
    <row r="64" spans="1:13" x14ac:dyDescent="0.2">
      <c r="A64" s="26">
        <f t="shared" si="7"/>
        <v>168</v>
      </c>
      <c r="B64" s="1" t="str">
        <f t="shared" si="6"/>
        <v>00A8</v>
      </c>
      <c r="C64" s="13" t="str">
        <f>UUIDLOOKUP(G64,'UUID Table'!$C$10:$C$201,'UUID Table'!$D$10:$D$201)</f>
        <v>B002</v>
      </c>
      <c r="D64" s="13" t="str">
        <f>UUIDLOOKUP(G64,'UUID Table'!$C$10:$C$201,'UUID Table'!$E$10:$E$201)</f>
        <v>0000B00200001000800000805F9B34FB</v>
      </c>
      <c r="G64" s="42" t="s">
        <v>382</v>
      </c>
      <c r="H64" s="1" t="s">
        <v>22</v>
      </c>
      <c r="I64" s="71" t="s">
        <v>22</v>
      </c>
      <c r="J64" s="71" t="s">
        <v>23</v>
      </c>
      <c r="K64" s="1" t="s">
        <v>23</v>
      </c>
      <c r="L64" s="69" t="s">
        <v>452</v>
      </c>
      <c r="M64" s="68" t="s">
        <v>459</v>
      </c>
    </row>
    <row r="65" spans="1:13" x14ac:dyDescent="0.2">
      <c r="A65" s="35">
        <f t="shared" si="7"/>
        <v>169</v>
      </c>
      <c r="B65" s="5" t="str">
        <f t="shared" si="6"/>
        <v>00A9</v>
      </c>
      <c r="C65" s="5" t="str">
        <f>UUIDLOOKUP(F65,'UUID Table'!$C$10:$C$201,'UUID Table'!$D$10:$D$201)</f>
        <v>2803</v>
      </c>
      <c r="D65" s="5" t="str">
        <f>UUIDLOOKUP(F65,'UUID Table'!$C$10:$C$201,'UUID Table'!$E$10:$E$201)</f>
        <v>0000280300001000800000805F9B34FB</v>
      </c>
      <c r="E65" s="6" t="s">
        <v>1</v>
      </c>
      <c r="F65" s="6" t="s">
        <v>32</v>
      </c>
      <c r="G65" s="6"/>
      <c r="H65" s="30" t="s">
        <v>22</v>
      </c>
      <c r="I65" s="30" t="s">
        <v>23</v>
      </c>
      <c r="J65" s="30" t="s">
        <v>23</v>
      </c>
      <c r="K65" s="30" t="s">
        <v>23</v>
      </c>
      <c r="L65" s="7" t="str">
        <f>"{properties=0x0A, handle=0x"&amp;TEXT(B66,"0000")&amp;", UUID=0x"&amp;TEXT(C66,"0000")&amp;"}"</f>
        <v>{properties=0x0A, handle=0x00AA, UUID=0xB002}</v>
      </c>
      <c r="M65" s="7"/>
    </row>
    <row r="66" spans="1:13" x14ac:dyDescent="0.2">
      <c r="A66" s="26">
        <f t="shared" si="7"/>
        <v>170</v>
      </c>
      <c r="B66" s="1" t="str">
        <f t="shared" si="6"/>
        <v>00AA</v>
      </c>
      <c r="C66" s="13" t="str">
        <f>UUIDLOOKUP(G66,'UUID Table'!$C$10:$C$201,'UUID Table'!$D$10:$D$201)</f>
        <v>B002</v>
      </c>
      <c r="D66" s="13" t="str">
        <f>UUIDLOOKUP(G66,'UUID Table'!$C$10:$C$201,'UUID Table'!$E$10:$E$201)</f>
        <v>0000B00200001000800000805F9B34FB</v>
      </c>
      <c r="G66" s="42" t="s">
        <v>382</v>
      </c>
      <c r="H66" s="1" t="s">
        <v>22</v>
      </c>
      <c r="I66" s="71" t="s">
        <v>22</v>
      </c>
      <c r="J66" s="71" t="s">
        <v>23</v>
      </c>
      <c r="K66" s="1" t="s">
        <v>23</v>
      </c>
      <c r="L66" s="69" t="s">
        <v>453</v>
      </c>
      <c r="M66" s="68" t="s">
        <v>458</v>
      </c>
    </row>
    <row r="67" spans="1:13" x14ac:dyDescent="0.2">
      <c r="A67" s="35">
        <f t="shared" si="7"/>
        <v>171</v>
      </c>
      <c r="B67" s="5" t="str">
        <f t="shared" si="6"/>
        <v>00AB</v>
      </c>
      <c r="C67" s="5" t="str">
        <f>UUIDLOOKUP(F67,'UUID Table'!$C$10:$C$201,'UUID Table'!$D$10:$D$201)</f>
        <v>2803</v>
      </c>
      <c r="D67" s="5" t="str">
        <f>UUIDLOOKUP(F67,'UUID Table'!$C$10:$C$201,'UUID Table'!$E$10:$E$201)</f>
        <v>0000280300001000800000805F9B34FB</v>
      </c>
      <c r="E67" s="6" t="s">
        <v>1</v>
      </c>
      <c r="F67" s="6" t="s">
        <v>32</v>
      </c>
      <c r="G67" s="6"/>
      <c r="H67" s="30" t="s">
        <v>22</v>
      </c>
      <c r="I67" s="30" t="s">
        <v>23</v>
      </c>
      <c r="J67" s="30" t="s">
        <v>23</v>
      </c>
      <c r="K67" s="30" t="s">
        <v>23</v>
      </c>
      <c r="L67" s="7" t="str">
        <f>"{properties=0x0A, handle=0x"&amp;TEXT(B68,"0000")&amp;", UUID=0x"&amp;TEXT(C68,"0000")&amp;"}"</f>
        <v>{properties=0x0A, handle=0x00AC, UUID=0xB002}</v>
      </c>
      <c r="M67" s="7"/>
    </row>
    <row r="68" spans="1:13" x14ac:dyDescent="0.2">
      <c r="A68" s="26">
        <f t="shared" si="7"/>
        <v>172</v>
      </c>
      <c r="B68" s="1" t="str">
        <f t="shared" si="6"/>
        <v>00AC</v>
      </c>
      <c r="C68" s="13" t="str">
        <f>UUIDLOOKUP(G68,'UUID Table'!$C$10:$C$201,'UUID Table'!$D$10:$D$201)</f>
        <v>B002</v>
      </c>
      <c r="D68" s="13" t="str">
        <f>UUIDLOOKUP(G68,'UUID Table'!$C$10:$C$201,'UUID Table'!$E$10:$E$201)</f>
        <v>0000B00200001000800000805F9B34FB</v>
      </c>
      <c r="G68" s="42" t="s">
        <v>382</v>
      </c>
      <c r="H68" s="1" t="s">
        <v>22</v>
      </c>
      <c r="I68" s="71" t="s">
        <v>22</v>
      </c>
      <c r="J68" s="71" t="s">
        <v>23</v>
      </c>
      <c r="K68" s="1" t="s">
        <v>23</v>
      </c>
      <c r="L68" s="69" t="s">
        <v>454</v>
      </c>
      <c r="M68" s="68" t="s">
        <v>457</v>
      </c>
    </row>
    <row r="69" spans="1:13" x14ac:dyDescent="0.2">
      <c r="A69" s="35">
        <f t="shared" si="7"/>
        <v>173</v>
      </c>
      <c r="B69" s="5" t="str">
        <f t="shared" si="6"/>
        <v>00AD</v>
      </c>
      <c r="C69" s="5" t="str">
        <f>UUIDLOOKUP(F69,'UUID Table'!$C$10:$C$201,'UUID Table'!$D$10:$D$201)</f>
        <v>2803</v>
      </c>
      <c r="D69" s="5" t="str">
        <f>UUIDLOOKUP(F69,'UUID Table'!$C$10:$C$201,'UUID Table'!$E$10:$E$201)</f>
        <v>0000280300001000800000805F9B34FB</v>
      </c>
      <c r="E69" s="6" t="s">
        <v>1</v>
      </c>
      <c r="F69" s="6" t="s">
        <v>32</v>
      </c>
      <c r="G69" s="6"/>
      <c r="H69" s="30" t="s">
        <v>22</v>
      </c>
      <c r="I69" s="30" t="s">
        <v>23</v>
      </c>
      <c r="J69" s="30" t="s">
        <v>23</v>
      </c>
      <c r="K69" s="30" t="s">
        <v>23</v>
      </c>
      <c r="L69" s="7" t="str">
        <f>"{properties=0x0A, handle=0x"&amp;TEXT(B70,"0000")&amp;", UUID=0x"&amp;TEXT(C70,"0000")&amp;"}"</f>
        <v>{properties=0x0A, handle=0x00AE, UUID=0xB002}</v>
      </c>
      <c r="M69" s="7"/>
    </row>
    <row r="70" spans="1:13" x14ac:dyDescent="0.2">
      <c r="A70" s="26">
        <f t="shared" si="7"/>
        <v>174</v>
      </c>
      <c r="B70" s="1" t="str">
        <f t="shared" si="6"/>
        <v>00AE</v>
      </c>
      <c r="C70" s="13" t="str">
        <f>UUIDLOOKUP(G70,'UUID Table'!$C$10:$C$201,'UUID Table'!$D$10:$D$201)</f>
        <v>B002</v>
      </c>
      <c r="D70" s="13" t="str">
        <f>UUIDLOOKUP(G70,'UUID Table'!$C$10:$C$201,'UUID Table'!$E$10:$E$201)</f>
        <v>0000B00200001000800000805F9B34FB</v>
      </c>
      <c r="G70" s="42" t="s">
        <v>382</v>
      </c>
      <c r="H70" s="1" t="s">
        <v>22</v>
      </c>
      <c r="I70" s="71" t="s">
        <v>22</v>
      </c>
      <c r="J70" s="71" t="s">
        <v>23</v>
      </c>
      <c r="K70" s="1" t="s">
        <v>23</v>
      </c>
      <c r="L70" s="69" t="s">
        <v>461</v>
      </c>
      <c r="M70" s="68" t="s">
        <v>456</v>
      </c>
    </row>
    <row r="71" spans="1:13" x14ac:dyDescent="0.2">
      <c r="A71" s="40">
        <v>65535</v>
      </c>
      <c r="B71" s="8" t="str">
        <f t="shared" si="6"/>
        <v>FFFF</v>
      </c>
      <c r="C71" s="8" t="str">
        <f>UUIDLOOKUP(E71,'UUID Table'!$C$10:$C$201,'UUID Table'!$D$10:$D$201)</f>
        <v>2800</v>
      </c>
      <c r="D71" s="8" t="str">
        <f>UUIDLOOKUP(E71,'UUID Table'!$C$10:$C$201,'UUID Table'!$E$10:$E$201)</f>
        <v>0000280000001000800000805F9B34FB</v>
      </c>
      <c r="E71" s="67" t="s">
        <v>376</v>
      </c>
      <c r="F71" s="8"/>
      <c r="G71" s="8"/>
      <c r="H71" s="8" t="s">
        <v>22</v>
      </c>
      <c r="I71" s="8" t="s">
        <v>23</v>
      </c>
      <c r="J71" s="8" t="s">
        <v>23</v>
      </c>
      <c r="K71" s="8" t="s">
        <v>23</v>
      </c>
      <c r="L71" s="10" t="str">
        <f>"{Service=0x"&amp;TEXT('UUID Table'!$D$163,"0000")&amp;" (""Service E"")}"</f>
        <v>{Service=0xA00E ("Service E")}</v>
      </c>
      <c r="M71" s="10"/>
    </row>
    <row r="72" spans="1:13" x14ac:dyDescent="0.2">
      <c r="A72" s="26"/>
      <c r="B72" s="13"/>
      <c r="C72" s="13"/>
      <c r="D72" s="13"/>
      <c r="L72" s="65"/>
      <c r="M72" s="68"/>
    </row>
    <row r="73" spans="1:13" x14ac:dyDescent="0.2">
      <c r="H73" s="27" t="s">
        <v>22</v>
      </c>
      <c r="I73" s="76" t="s">
        <v>449</v>
      </c>
      <c r="J73" s="76"/>
    </row>
    <row r="74" spans="1:13" x14ac:dyDescent="0.2">
      <c r="H74" s="27" t="s">
        <v>23</v>
      </c>
      <c r="I74" s="41" t="s">
        <v>28</v>
      </c>
      <c r="J74" s="41"/>
    </row>
    <row r="75" spans="1:13" x14ac:dyDescent="0.2">
      <c r="I75" s="41"/>
      <c r="J75" s="41"/>
    </row>
    <row r="76" spans="1:13" x14ac:dyDescent="0.2">
      <c r="I76" s="41"/>
      <c r="J76" s="41"/>
    </row>
    <row r="78" spans="1:13" x14ac:dyDescent="0.2">
      <c r="C78" s="3" t="s">
        <v>366</v>
      </c>
      <c r="G78" s="59" t="s">
        <v>365</v>
      </c>
      <c r="H78" s="60">
        <f t="array" ref="H78">ROWS(A5:A71)-COUNTBLANK(A5:A71)-SUM(IF(FREQUENCY(IF(LEN(A5:A71)&gt;0,MATCH(A5:A71,A5:A71,0),""), IF(LEN(A5:A71)&gt;0,MATCH(A5:A71,A5:A71,0),""))&gt;0,1))</f>
        <v>0</v>
      </c>
      <c r="I78" s="15"/>
      <c r="J78" s="15"/>
      <c r="K78" s="3"/>
    </row>
    <row r="79" spans="1:13" x14ac:dyDescent="0.2">
      <c r="B79"/>
      <c r="C79"/>
      <c r="D79"/>
      <c r="E79" s="15"/>
    </row>
    <row r="80" spans="1:13" x14ac:dyDescent="0.2">
      <c r="B80"/>
      <c r="C80" s="68" t="s">
        <v>482</v>
      </c>
    </row>
    <row r="81" spans="2:11" x14ac:dyDescent="0.2">
      <c r="B81"/>
      <c r="C81" t="s">
        <v>434</v>
      </c>
      <c r="D81"/>
      <c r="E81" s="15"/>
    </row>
    <row r="82" spans="2:11" x14ac:dyDescent="0.2">
      <c r="B82"/>
      <c r="C82" s="70" t="s">
        <v>481</v>
      </c>
      <c r="D82" s="15"/>
      <c r="E82" s="15"/>
      <c r="H82" s="3"/>
      <c r="I82" s="3"/>
      <c r="J82" s="3"/>
      <c r="K82" s="3"/>
    </row>
    <row r="83" spans="2:11" x14ac:dyDescent="0.2">
      <c r="C83" s="68" t="s">
        <v>480</v>
      </c>
    </row>
    <row r="84" spans="2:11" x14ac:dyDescent="0.2">
      <c r="C84" s="68"/>
    </row>
    <row r="86" spans="2:11" x14ac:dyDescent="0.2">
      <c r="C86" s="68" t="s">
        <v>483</v>
      </c>
    </row>
    <row r="87" spans="2:11" x14ac:dyDescent="0.2">
      <c r="C87" s="68" t="s">
        <v>478</v>
      </c>
    </row>
    <row r="88" spans="2:11" x14ac:dyDescent="0.2">
      <c r="C88" s="2" t="s">
        <v>484</v>
      </c>
    </row>
    <row r="89" spans="2:11" x14ac:dyDescent="0.2">
      <c r="C89" s="68" t="s">
        <v>464</v>
      </c>
    </row>
    <row r="90" spans="2:11" x14ac:dyDescent="0.2">
      <c r="C90" s="68" t="s">
        <v>465</v>
      </c>
    </row>
    <row r="91" spans="2:11" x14ac:dyDescent="0.2">
      <c r="C91" s="68" t="s">
        <v>466</v>
      </c>
    </row>
    <row r="92" spans="2:11" x14ac:dyDescent="0.2">
      <c r="C92" s="68" t="s">
        <v>467</v>
      </c>
    </row>
    <row r="93" spans="2:11" x14ac:dyDescent="0.2">
      <c r="C93" s="68" t="s">
        <v>468</v>
      </c>
    </row>
    <row r="94" spans="2:11" x14ac:dyDescent="0.2">
      <c r="C94" s="68" t="s">
        <v>469</v>
      </c>
    </row>
    <row r="95" spans="2:11" x14ac:dyDescent="0.2">
      <c r="C95" s="68" t="s">
        <v>470</v>
      </c>
    </row>
    <row r="96" spans="2:11" x14ac:dyDescent="0.2">
      <c r="C96" s="68" t="s">
        <v>471</v>
      </c>
    </row>
  </sheetData>
  <conditionalFormatting sqref="G78:H78">
    <cfRule type="expression" dxfId="3" priority="1" stopIfTrue="1">
      <formula>$H$78&gt;0</formula>
    </cfRule>
  </conditionalFormatting>
  <pageMargins left="0.75" right="0.75" top="1" bottom="1" header="0.5" footer="0.5"/>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N83"/>
  <sheetViews>
    <sheetView topLeftCell="E9" workbookViewId="0">
      <selection activeCell="L32" sqref="L32"/>
    </sheetView>
  </sheetViews>
  <sheetFormatPr defaultColWidth="9.140625" defaultRowHeight="12.75" outlineLevelCol="1" x14ac:dyDescent="0.2"/>
  <cols>
    <col min="1" max="1" width="6.5703125" style="3" customWidth="1"/>
    <col min="2" max="2" width="9.7109375" style="3" customWidth="1"/>
    <col min="3" max="3" width="36.5703125" style="3" customWidth="1"/>
    <col min="4" max="4" width="36.5703125" style="3" hidden="1" customWidth="1" outlineLevel="1"/>
    <col min="5" max="5" width="2.7109375" style="3" customWidth="1" collapsed="1"/>
    <col min="6" max="6" width="3" style="3" customWidth="1"/>
    <col min="7" max="7" width="43.42578125" style="3" customWidth="1"/>
    <col min="8" max="11" width="5.5703125" style="27" customWidth="1"/>
    <col min="12" max="12" width="83.5703125" style="3" customWidth="1"/>
    <col min="13" max="13" width="48.28515625" style="3" customWidth="1"/>
    <col min="14" max="16384" width="9.140625" style="3"/>
  </cols>
  <sheetData>
    <row r="2" spans="1:14" s="2" customFormat="1" x14ac:dyDescent="0.2">
      <c r="A2" s="37" t="s">
        <v>7</v>
      </c>
      <c r="B2" s="38" t="s">
        <v>0</v>
      </c>
      <c r="C2" s="32" t="s">
        <v>367</v>
      </c>
      <c r="D2" s="39" t="s">
        <v>9</v>
      </c>
      <c r="E2" s="39" t="s">
        <v>18</v>
      </c>
      <c r="F2" s="39"/>
      <c r="G2" s="38"/>
      <c r="H2" s="31"/>
      <c r="I2" s="32" t="s">
        <v>21</v>
      </c>
      <c r="J2" s="32" t="s">
        <v>21</v>
      </c>
      <c r="K2" s="39"/>
      <c r="L2" s="39" t="s">
        <v>27</v>
      </c>
      <c r="M2" s="39" t="s">
        <v>6</v>
      </c>
    </row>
    <row r="3" spans="1:14" s="2" customFormat="1" ht="25.5" customHeight="1" x14ac:dyDescent="0.2">
      <c r="A3" s="37"/>
      <c r="B3" s="38"/>
      <c r="C3" s="39"/>
      <c r="D3" s="39"/>
      <c r="E3" s="39"/>
      <c r="F3" s="39"/>
      <c r="G3" s="38"/>
      <c r="H3" s="33" t="s">
        <v>25</v>
      </c>
      <c r="I3" s="33" t="s">
        <v>26</v>
      </c>
      <c r="J3" s="94" t="s">
        <v>548</v>
      </c>
      <c r="K3" s="43" t="s">
        <v>31</v>
      </c>
      <c r="L3" s="39"/>
      <c r="M3" s="39"/>
    </row>
    <row r="4" spans="1:14" s="2" customFormat="1" x14ac:dyDescent="0.2">
      <c r="A4" s="11"/>
      <c r="B4" s="12"/>
      <c r="C4" s="11"/>
      <c r="D4" s="11"/>
      <c r="E4" s="11"/>
      <c r="F4" s="11"/>
      <c r="G4" s="12"/>
      <c r="H4" s="28"/>
      <c r="I4" s="28"/>
      <c r="J4" s="28"/>
      <c r="K4" s="28"/>
      <c r="L4" s="11"/>
      <c r="M4" s="11"/>
    </row>
    <row r="5" spans="1:14" x14ac:dyDescent="0.2">
      <c r="A5" s="40">
        <v>1</v>
      </c>
      <c r="B5" s="8" t="str">
        <f t="shared" ref="B5:B26" si="0">DEC2HEX(A5,4)</f>
        <v>0001</v>
      </c>
      <c r="C5" s="8" t="str">
        <f>UUIDLOOKUP(E5,'UUID Table'!$C$10:$C$201,'UUID Table'!$D$10:$D$201)</f>
        <v>2800</v>
      </c>
      <c r="D5" s="8" t="str">
        <f>UUIDLOOKUP(E5,'UUID Table'!$C$10:$C$201,'UUID Table'!$E$10:$E$201)</f>
        <v>0000280000001000800000805F9B34FB</v>
      </c>
      <c r="E5" s="67" t="s">
        <v>376</v>
      </c>
      <c r="F5" s="9"/>
      <c r="G5" s="9"/>
      <c r="H5" s="29" t="s">
        <v>22</v>
      </c>
      <c r="I5" s="29" t="s">
        <v>23</v>
      </c>
      <c r="J5" s="29" t="s">
        <v>23</v>
      </c>
      <c r="K5" s="29" t="s">
        <v>23</v>
      </c>
      <c r="L5" s="10" t="str">
        <f>"{Service=0x"&amp;TEXT('UUID Table'!$D$132,"0000")&amp;" (""Generic Access Profile"")}"</f>
        <v>{Service=0x1800 ("Generic Access Profile")}</v>
      </c>
      <c r="M5" s="10"/>
    </row>
    <row r="6" spans="1:14" x14ac:dyDescent="0.2">
      <c r="A6" s="34">
        <f t="shared" ref="A6:A11" si="1">A5+1</f>
        <v>2</v>
      </c>
      <c r="B6" s="5" t="str">
        <f t="shared" si="0"/>
        <v>0002</v>
      </c>
      <c r="C6" s="5" t="str">
        <f>UUIDLOOKUP(F6,'UUID Table'!$C$10:$C$201,'UUID Table'!$D$10:$D$201)</f>
        <v>2803</v>
      </c>
      <c r="D6" s="5" t="str">
        <f>UUIDLOOKUP(F6,'UUID Table'!$C$10:$C$201,'UUID Table'!$E$10:$E$201)</f>
        <v>0000280300001000800000805F9B34FB</v>
      </c>
      <c r="E6" s="6"/>
      <c r="F6" s="6" t="s">
        <v>32</v>
      </c>
      <c r="G6" s="6"/>
      <c r="H6" s="30" t="s">
        <v>22</v>
      </c>
      <c r="I6" s="30" t="s">
        <v>23</v>
      </c>
      <c r="J6" s="30" t="s">
        <v>23</v>
      </c>
      <c r="K6" s="30" t="s">
        <v>23</v>
      </c>
      <c r="L6" s="7" t="str">
        <f>"{properties=0x02, handle=0x"&amp;TEXT(B7,"0000")&amp;", UUID=0x"&amp;TEXT(C7,"0000")&amp;"}"</f>
        <v>{properties=0x02, handle=0x0003, UUID=0x2A00}</v>
      </c>
      <c r="M6" s="7"/>
    </row>
    <row r="7" spans="1:14" x14ac:dyDescent="0.2">
      <c r="A7" s="26">
        <f t="shared" si="1"/>
        <v>3</v>
      </c>
      <c r="B7" s="1" t="str">
        <f t="shared" si="0"/>
        <v>0003</v>
      </c>
      <c r="C7" s="13" t="str">
        <f>UUIDLOOKUP(G7,'UUID Table'!$C$10:$C$201,'UUID Table'!$D$10:$D$201)</f>
        <v>2A00</v>
      </c>
      <c r="D7" s="13" t="str">
        <f>UUIDLOOKUP(G7,'UUID Table'!$C$10:$C$201,'UUID Table'!$E$10:$E$201)</f>
        <v>00002A0000001000800000805F9B34FB</v>
      </c>
      <c r="E7" s="23"/>
      <c r="F7" s="23"/>
      <c r="G7" s="42" t="s">
        <v>2</v>
      </c>
      <c r="H7" s="1" t="s">
        <v>22</v>
      </c>
      <c r="I7" s="1" t="s">
        <v>23</v>
      </c>
      <c r="J7" s="1" t="s">
        <v>23</v>
      </c>
      <c r="K7" s="1" t="s">
        <v>23</v>
      </c>
      <c r="L7" s="65" t="s">
        <v>486</v>
      </c>
    </row>
    <row r="8" spans="1:14" x14ac:dyDescent="0.2">
      <c r="A8" s="34">
        <f t="shared" si="1"/>
        <v>4</v>
      </c>
      <c r="B8" s="5" t="str">
        <f t="shared" si="0"/>
        <v>0004</v>
      </c>
      <c r="C8" s="5" t="str">
        <f>UUIDLOOKUP(F8,'UUID Table'!$C$10:$C$201,'UUID Table'!$D$10:$D$201)</f>
        <v>2803</v>
      </c>
      <c r="D8" s="5"/>
      <c r="E8" s="6"/>
      <c r="F8" s="6" t="s">
        <v>32</v>
      </c>
      <c r="G8" s="6"/>
      <c r="H8" s="30" t="s">
        <v>22</v>
      </c>
      <c r="I8" s="30" t="s">
        <v>23</v>
      </c>
      <c r="J8" s="30" t="s">
        <v>23</v>
      </c>
      <c r="K8" s="30" t="s">
        <v>23</v>
      </c>
      <c r="L8" s="7" t="str">
        <f>"{properties=0x02, handle=0x"&amp;TEXT(B9,"0000")&amp;", UUID=0x"&amp;TEXT(C9,"0000")&amp;"}"</f>
        <v>{properties=0x02, handle=0x0005, UUID=0x2A01}</v>
      </c>
      <c r="M8" s="7"/>
    </row>
    <row r="9" spans="1:14" x14ac:dyDescent="0.2">
      <c r="A9" s="26">
        <f t="shared" si="1"/>
        <v>5</v>
      </c>
      <c r="B9" s="1" t="str">
        <f t="shared" si="0"/>
        <v>0005</v>
      </c>
      <c r="C9" s="13" t="str">
        <f>UUIDLOOKUP(G9,'UUID Table'!$C$10:$C$201,'UUID Table'!$D$10:$D$201)</f>
        <v>2A01</v>
      </c>
      <c r="D9" s="13" t="str">
        <f>UUIDLOOKUP(G9,'UUID Table'!$C$10:$C$201,'UUID Table'!$E$10:$E$201)</f>
        <v>00002A0100001000800000805F9B34FB</v>
      </c>
      <c r="E9" s="23"/>
      <c r="F9" s="23"/>
      <c r="G9" s="42" t="s">
        <v>374</v>
      </c>
      <c r="H9" s="1" t="s">
        <v>22</v>
      </c>
      <c r="I9" s="1" t="s">
        <v>23</v>
      </c>
      <c r="J9" s="1" t="s">
        <v>23</v>
      </c>
      <c r="K9" s="1" t="s">
        <v>23</v>
      </c>
      <c r="L9" s="36">
        <v>17</v>
      </c>
    </row>
    <row r="10" spans="1:14" x14ac:dyDescent="0.2">
      <c r="A10" s="35">
        <f t="shared" si="1"/>
        <v>6</v>
      </c>
      <c r="B10" s="5" t="str">
        <f t="shared" si="0"/>
        <v>0006</v>
      </c>
      <c r="C10" s="5" t="str">
        <f>UUIDLOOKUP(F10,'UUID Table'!$C$10:$C$201,'UUID Table'!$D$10:$D$201)</f>
        <v>2803</v>
      </c>
      <c r="D10" s="5"/>
      <c r="E10" s="6"/>
      <c r="F10" s="6" t="s">
        <v>32</v>
      </c>
      <c r="G10" s="6"/>
      <c r="H10" s="30" t="s">
        <v>22</v>
      </c>
      <c r="I10" s="30" t="s">
        <v>23</v>
      </c>
      <c r="J10" s="30" t="s">
        <v>23</v>
      </c>
      <c r="K10" s="30" t="s">
        <v>23</v>
      </c>
      <c r="L10" s="7" t="str">
        <f>"{properties=0x02, handle=0x"&amp;TEXT(B11,"0000")&amp;", UUID=0x"&amp;TEXT(C11,"0000")&amp;"}"</f>
        <v>{properties=0x02, handle=0x0007, UUID=0x2A04}</v>
      </c>
      <c r="M10" s="7"/>
    </row>
    <row r="11" spans="1:14" ht="25.5" x14ac:dyDescent="0.2">
      <c r="A11" s="26">
        <f t="shared" si="1"/>
        <v>7</v>
      </c>
      <c r="B11" s="1" t="str">
        <f t="shared" si="0"/>
        <v>0007</v>
      </c>
      <c r="C11" s="13" t="str">
        <f>UUIDLOOKUP(G11,'UUID Table'!$C$10:$C$201,'UUID Table'!$D$10:$D$201)</f>
        <v>2A04</v>
      </c>
      <c r="D11" s="13" t="str">
        <f>UUIDLOOKUP(G11,'UUID Table'!$C$10:$C$201,'UUID Table'!$E$10:$E$201)</f>
        <v>00002A0400001000800000805F9B34FB</v>
      </c>
      <c r="E11" s="23"/>
      <c r="F11" s="23"/>
      <c r="G11" s="42" t="s">
        <v>375</v>
      </c>
      <c r="H11" s="1" t="s">
        <v>22</v>
      </c>
      <c r="I11" s="1" t="s">
        <v>23</v>
      </c>
      <c r="J11" s="1" t="s">
        <v>23</v>
      </c>
      <c r="K11" s="1" t="s">
        <v>23</v>
      </c>
      <c r="L11" s="69" t="s">
        <v>378</v>
      </c>
      <c r="M11" s="65"/>
    </row>
    <row r="12" spans="1:14" x14ac:dyDescent="0.2">
      <c r="A12" s="40">
        <v>16</v>
      </c>
      <c r="B12" s="8" t="str">
        <f t="shared" si="0"/>
        <v>0010</v>
      </c>
      <c r="C12" s="8" t="str">
        <f>UUIDLOOKUP(E12,'UUID Table'!$C$10:$C$201,'UUID Table'!$D$10:$D$201)</f>
        <v>2800</v>
      </c>
      <c r="D12" s="8" t="str">
        <f>UUIDLOOKUP(E12,'UUID Table'!$C$10:$C$201,'UUID Table'!$E$10:$E$201)</f>
        <v>0000280000001000800000805F9B34FB</v>
      </c>
      <c r="E12" s="67" t="s">
        <v>376</v>
      </c>
      <c r="F12" s="9"/>
      <c r="G12" s="9"/>
      <c r="H12" s="29" t="s">
        <v>22</v>
      </c>
      <c r="I12" s="29" t="s">
        <v>23</v>
      </c>
      <c r="J12" s="29" t="s">
        <v>23</v>
      </c>
      <c r="K12" s="29" t="s">
        <v>23</v>
      </c>
      <c r="L12" s="10" t="str">
        <f>"{Service=0x"&amp;TEXT('UUID Table'!$D$130,"0000")&amp;" (""Attribute Profile"")}"</f>
        <v>{Service=0x1801 ("Attribute Profile")}</v>
      </c>
      <c r="M12" s="10"/>
    </row>
    <row r="13" spans="1:14" x14ac:dyDescent="0.2">
      <c r="A13" s="34">
        <f>A12+1</f>
        <v>17</v>
      </c>
      <c r="B13" s="5" t="str">
        <f t="shared" si="0"/>
        <v>0011</v>
      </c>
      <c r="C13" s="5" t="str">
        <f>UUIDLOOKUP(F13,'UUID Table'!$C$10:$C$201,'UUID Table'!$D$10:$D$201)</f>
        <v>2803</v>
      </c>
      <c r="D13" s="5" t="str">
        <f>UUIDLOOKUP(F13,'UUID Table'!$C$10:$C$201,'UUID Table'!$E$10:$E$201)</f>
        <v>0000280300001000800000805F9B34FB</v>
      </c>
      <c r="E13" s="6"/>
      <c r="F13" s="6" t="s">
        <v>32</v>
      </c>
      <c r="G13" s="6"/>
      <c r="H13" s="30" t="s">
        <v>22</v>
      </c>
      <c r="I13" s="30" t="s">
        <v>23</v>
      </c>
      <c r="J13" s="30" t="s">
        <v>23</v>
      </c>
      <c r="K13" s="30" t="s">
        <v>23</v>
      </c>
      <c r="L13" s="7" t="str">
        <f>"{properties=0x20, handle=0x"&amp;TEXT(B14,"0000")&amp;", UUID=0x"&amp;TEXT(C14,"0000")&amp;"}"</f>
        <v>{properties=0x20, handle=0x0012, UUID=0x2A05}</v>
      </c>
      <c r="M13" s="7"/>
    </row>
    <row r="14" spans="1:14" x14ac:dyDescent="0.2">
      <c r="A14" s="26">
        <f>A13+1</f>
        <v>18</v>
      </c>
      <c r="B14" s="1" t="str">
        <f t="shared" si="0"/>
        <v>0012</v>
      </c>
      <c r="C14" s="13" t="str">
        <f>UUIDLOOKUP(G14,'UUID Table'!$C$10:$C$201,'UUID Table'!$D$10:$D$201)</f>
        <v>2A05</v>
      </c>
      <c r="D14" s="13" t="str">
        <f>UUIDLOOKUP(G14,'UUID Table'!$C$10:$C$201,'UUID Table'!$E$10:$E$201)</f>
        <v>00002A0500001000800000805F9B34FB</v>
      </c>
      <c r="G14" s="42" t="s">
        <v>29</v>
      </c>
      <c r="H14" s="71" t="s">
        <v>23</v>
      </c>
      <c r="I14" s="1" t="s">
        <v>23</v>
      </c>
      <c r="J14" s="1" t="s">
        <v>23</v>
      </c>
      <c r="K14" s="71" t="s">
        <v>22</v>
      </c>
      <c r="L14" s="65" t="s">
        <v>438</v>
      </c>
      <c r="M14" s="68"/>
    </row>
    <row r="15" spans="1:14" x14ac:dyDescent="0.2">
      <c r="A15" s="40">
        <v>32</v>
      </c>
      <c r="B15" s="8" t="str">
        <f t="shared" ref="B15:B23" si="2">DEC2HEX(A15,4)</f>
        <v>0020</v>
      </c>
      <c r="C15" s="8" t="str">
        <f>UUIDLOOKUP(E15,'UUID Table'!$C$10:$C$201,'UUID Table'!$D$10:$D$201)</f>
        <v>2800</v>
      </c>
      <c r="D15" s="8" t="str">
        <f>UUIDLOOKUP(E15,'UUID Table'!$C$10:$C$201,'UUID Table'!$E$10:$E$201)</f>
        <v>0000280000001000800000805F9B34FB</v>
      </c>
      <c r="E15" s="67" t="s">
        <v>376</v>
      </c>
      <c r="F15" s="8"/>
      <c r="G15" s="8"/>
      <c r="H15" s="8" t="s">
        <v>22</v>
      </c>
      <c r="I15" s="8" t="s">
        <v>23</v>
      </c>
      <c r="J15" s="8" t="s">
        <v>23</v>
      </c>
      <c r="K15" s="8" t="s">
        <v>23</v>
      </c>
      <c r="L15" s="10" t="str">
        <f>"{Service=0x"&amp;TEXT('UUID Table'!$D$138,"0000")&amp;" (""Service A"")}"</f>
        <v>{Service=0xA00A ("Service A")}</v>
      </c>
      <c r="M15" s="10"/>
    </row>
    <row r="16" spans="1:14" s="23" customFormat="1" x14ac:dyDescent="0.2">
      <c r="A16" s="54">
        <f t="shared" ref="A16:A23" si="3">A15+1</f>
        <v>33</v>
      </c>
      <c r="B16" s="1" t="str">
        <f t="shared" si="2"/>
        <v>0021</v>
      </c>
      <c r="C16" s="13" t="str">
        <f>UUIDLOOKUP(G16,'UUID Table'!$C$10:$C$201,'UUID Table'!$D$10:$D$201)</f>
        <v>2802</v>
      </c>
      <c r="D16" s="13"/>
      <c r="F16" s="13"/>
      <c r="G16" s="56" t="s">
        <v>348</v>
      </c>
      <c r="H16" s="13" t="s">
        <v>22</v>
      </c>
      <c r="I16" s="13" t="s">
        <v>23</v>
      </c>
      <c r="J16" s="13" t="s">
        <v>23</v>
      </c>
      <c r="K16" s="13" t="s">
        <v>23</v>
      </c>
      <c r="L16" s="55" t="str">
        <f>"{handle=0x"&amp;TEXT(B65,"0000")&amp;", end group handle=0x"&amp;TEXT(B69,"0000")&amp;", UUID=0x"&amp;TEXT('UUID Table'!$D$160,"0000")&amp;"}"</f>
        <v>{handle=0x00A0, end group handle=0x00A4, UUID=0xA00D}</v>
      </c>
      <c r="M16" s="74" t="s">
        <v>426</v>
      </c>
      <c r="N16" s="3"/>
    </row>
    <row r="17" spans="1:14" s="23" customFormat="1" x14ac:dyDescent="0.2">
      <c r="A17" s="54">
        <f t="shared" si="3"/>
        <v>34</v>
      </c>
      <c r="B17" s="1" t="str">
        <f t="shared" si="2"/>
        <v>0022</v>
      </c>
      <c r="C17" s="13" t="str">
        <f>UUIDLOOKUP(G17,'UUID Table'!$C$10:$C$201,'UUID Table'!$D$10:$D$201)</f>
        <v>2802</v>
      </c>
      <c r="D17" s="13"/>
      <c r="F17" s="13"/>
      <c r="G17" s="56" t="s">
        <v>348</v>
      </c>
      <c r="H17" s="13" t="s">
        <v>22</v>
      </c>
      <c r="I17" s="13" t="s">
        <v>23</v>
      </c>
      <c r="J17" s="13" t="s">
        <v>23</v>
      </c>
      <c r="K17" s="13" t="s">
        <v>23</v>
      </c>
      <c r="L17" s="55" t="str">
        <f>"{handle=0x"&amp;TEXT(B43,"0000")&amp;", end group handle=0x"&amp;TEXT(B49,"0000")&amp;"}"</f>
        <v>{handle=0x0080, end group handle=0x0086}</v>
      </c>
      <c r="M17" s="74" t="s">
        <v>427</v>
      </c>
      <c r="N17" s="3"/>
    </row>
    <row r="18" spans="1:14" x14ac:dyDescent="0.2">
      <c r="A18" s="35">
        <f t="shared" si="3"/>
        <v>35</v>
      </c>
      <c r="B18" s="5" t="str">
        <f t="shared" si="2"/>
        <v>0023</v>
      </c>
      <c r="C18" s="5" t="str">
        <f>UUIDLOOKUP(F18,'UUID Table'!$C$10:$C$201,'UUID Table'!$D$10:$D$201)</f>
        <v>2803</v>
      </c>
      <c r="D18" s="5" t="str">
        <f>UUIDLOOKUP(F18,'UUID Table'!$C$10:$C$201,'UUID Table'!$E$10:$E$201)</f>
        <v>0000280300001000800000805F9B34FB</v>
      </c>
      <c r="E18" s="6" t="s">
        <v>1</v>
      </c>
      <c r="F18" s="6" t="s">
        <v>32</v>
      </c>
      <c r="G18" s="6"/>
      <c r="H18" s="30" t="s">
        <v>22</v>
      </c>
      <c r="I18" s="30" t="s">
        <v>23</v>
      </c>
      <c r="J18" s="30" t="s">
        <v>23</v>
      </c>
      <c r="K18" s="30" t="s">
        <v>23</v>
      </c>
      <c r="L18" s="7" t="str">
        <f>"{properties=0x02, handle=0x"&amp;TEXT(B19,"0000")&amp;", UUID=0x"&amp;TEXT(C19,"0000")&amp;"}"</f>
        <v>{properties=0x02, handle=0x0024, UUID=0xB001}</v>
      </c>
      <c r="M18" s="7"/>
    </row>
    <row r="19" spans="1:14" x14ac:dyDescent="0.2">
      <c r="A19" s="26">
        <f t="shared" si="3"/>
        <v>36</v>
      </c>
      <c r="B19" s="1" t="str">
        <f t="shared" si="2"/>
        <v>0024</v>
      </c>
      <c r="C19" s="13" t="str">
        <f>UUIDLOOKUP(G19,'UUID Table'!$C$10:$C$201,'UUID Table'!$D$10:$D$201)</f>
        <v>B001</v>
      </c>
      <c r="D19" s="13" t="str">
        <f>UUIDLOOKUP(G19,'UUID Table'!$C$10:$C$201,'UUID Table'!$E$10:$E$201)</f>
        <v>0000B00100001000800000805F9B34FB</v>
      </c>
      <c r="G19" s="42" t="s">
        <v>381</v>
      </c>
      <c r="H19" s="1" t="s">
        <v>22</v>
      </c>
      <c r="I19" s="1" t="s">
        <v>23</v>
      </c>
      <c r="J19" s="1" t="s">
        <v>23</v>
      </c>
      <c r="K19" s="1" t="s">
        <v>23</v>
      </c>
      <c r="L19" s="69" t="s">
        <v>407</v>
      </c>
    </row>
    <row r="20" spans="1:14" x14ac:dyDescent="0.2">
      <c r="A20" s="35">
        <f t="shared" si="3"/>
        <v>37</v>
      </c>
      <c r="B20" s="5" t="str">
        <f t="shared" si="2"/>
        <v>0025</v>
      </c>
      <c r="C20" s="5" t="str">
        <f>UUIDLOOKUP(F20,'UUID Table'!$C$10:$C$201,'UUID Table'!$D$10:$D$201)</f>
        <v>2803</v>
      </c>
      <c r="D20" s="5" t="str">
        <f>UUIDLOOKUP(F20,'UUID Table'!$C$10:$C$201,'UUID Table'!$E$10:$E$201)</f>
        <v>0000280300001000800000805F9B34FB</v>
      </c>
      <c r="E20" s="6" t="s">
        <v>1</v>
      </c>
      <c r="F20" s="6" t="s">
        <v>32</v>
      </c>
      <c r="G20" s="6"/>
      <c r="H20" s="30" t="s">
        <v>22</v>
      </c>
      <c r="I20" s="30" t="s">
        <v>23</v>
      </c>
      <c r="J20" s="30" t="s">
        <v>23</v>
      </c>
      <c r="K20" s="30" t="s">
        <v>23</v>
      </c>
      <c r="L20" s="7" t="str">
        <f>"{properties=0x0A, handle=0x"&amp;TEXT(B21,"0000")&amp;", UUID=0x"&amp;TEXT(C21,"0000")&amp;"}"</f>
        <v>{properties=0x0A, handle=0x0026, UUID=0xB002}</v>
      </c>
      <c r="M20" s="7"/>
    </row>
    <row r="21" spans="1:14" x14ac:dyDescent="0.2">
      <c r="A21" s="26">
        <f t="shared" si="3"/>
        <v>38</v>
      </c>
      <c r="B21" s="1" t="str">
        <f t="shared" si="2"/>
        <v>0026</v>
      </c>
      <c r="C21" s="13" t="str">
        <f>UUIDLOOKUP(G21,'UUID Table'!$C$10:$C$201,'UUID Table'!$D$10:$D$201)</f>
        <v>B002</v>
      </c>
      <c r="D21" s="13" t="str">
        <f>UUIDLOOKUP(G21,'UUID Table'!$C$10:$C$201,'UUID Table'!$E$10:$E$201)</f>
        <v>0000B00200001000800000805F9B34FB</v>
      </c>
      <c r="G21" s="42" t="s">
        <v>382</v>
      </c>
      <c r="H21" s="1" t="s">
        <v>22</v>
      </c>
      <c r="I21" s="71" t="s">
        <v>22</v>
      </c>
      <c r="J21" s="71" t="s">
        <v>23</v>
      </c>
      <c r="K21" s="1" t="s">
        <v>23</v>
      </c>
      <c r="L21" s="69" t="s">
        <v>408</v>
      </c>
      <c r="M21" s="68" t="s">
        <v>409</v>
      </c>
    </row>
    <row r="22" spans="1:14" x14ac:dyDescent="0.2">
      <c r="A22" s="35">
        <f t="shared" si="3"/>
        <v>39</v>
      </c>
      <c r="B22" s="5" t="str">
        <f t="shared" si="2"/>
        <v>0027</v>
      </c>
      <c r="C22" s="5" t="str">
        <f>UUIDLOOKUP(F22,'UUID Table'!$C$10:$C$201,'UUID Table'!$D$10:$D$201)</f>
        <v>2803</v>
      </c>
      <c r="D22" s="5" t="str">
        <f>UUIDLOOKUP(F22,'UUID Table'!$C$10:$C$201,'UUID Table'!$E$10:$E$201)</f>
        <v>0000280300001000800000805F9B34FB</v>
      </c>
      <c r="E22" s="6" t="s">
        <v>1</v>
      </c>
      <c r="F22" s="6" t="s">
        <v>32</v>
      </c>
      <c r="G22" s="6"/>
      <c r="H22" s="30" t="s">
        <v>22</v>
      </c>
      <c r="I22" s="30" t="s">
        <v>23</v>
      </c>
      <c r="J22" s="30" t="s">
        <v>23</v>
      </c>
      <c r="K22" s="30" t="s">
        <v>23</v>
      </c>
      <c r="L22" s="7" t="str">
        <f>"{properties=0x08, handle=0x"&amp;TEXT(B23,"0000")&amp;", UUID=0x"&amp;TEXT(C23,"0000")&amp;"}"</f>
        <v>{properties=0x08, handle=0x0028, UUID=0xB003}</v>
      </c>
      <c r="M22" s="7"/>
    </row>
    <row r="23" spans="1:14" x14ac:dyDescent="0.2">
      <c r="A23" s="26">
        <f t="shared" si="3"/>
        <v>40</v>
      </c>
      <c r="B23" s="1" t="str">
        <f t="shared" si="2"/>
        <v>0028</v>
      </c>
      <c r="C23" s="13" t="str">
        <f>UUIDLOOKUP(G23,'UUID Table'!$C$10:$C$201,'UUID Table'!$D$10:$D$201)</f>
        <v>B003</v>
      </c>
      <c r="D23" s="13" t="str">
        <f>UUIDLOOKUP(G23,'UUID Table'!$C$10:$C$201,'UUID Table'!$E$10:$E$201)</f>
        <v>0000B00300001000800000805F9B34FB</v>
      </c>
      <c r="G23" s="42" t="s">
        <v>383</v>
      </c>
      <c r="H23" s="71" t="s">
        <v>23</v>
      </c>
      <c r="I23" s="71" t="s">
        <v>22</v>
      </c>
      <c r="J23" s="71" t="s">
        <v>23</v>
      </c>
      <c r="K23" s="1" t="s">
        <v>23</v>
      </c>
      <c r="L23" s="69" t="s">
        <v>410</v>
      </c>
    </row>
    <row r="24" spans="1:14" x14ac:dyDescent="0.2">
      <c r="A24" s="40">
        <v>48</v>
      </c>
      <c r="B24" s="8" t="str">
        <f t="shared" si="0"/>
        <v>0030</v>
      </c>
      <c r="C24" s="8" t="str">
        <f>UUIDLOOKUP(E24,'UUID Table'!$C$10:$C$201,'UUID Table'!$D$10:$D$201)</f>
        <v>2800</v>
      </c>
      <c r="D24" s="8" t="str">
        <f>UUIDLOOKUP(E24,'UUID Table'!$C$10:$C$201,'UUID Table'!$E$10:$E$201)</f>
        <v>0000280000001000800000805F9B34FB</v>
      </c>
      <c r="E24" s="67" t="s">
        <v>376</v>
      </c>
      <c r="F24" s="8"/>
      <c r="G24" s="8"/>
      <c r="H24" s="8" t="s">
        <v>22</v>
      </c>
      <c r="I24" s="8" t="s">
        <v>23</v>
      </c>
      <c r="J24" s="8" t="s">
        <v>23</v>
      </c>
      <c r="K24" s="8" t="s">
        <v>23</v>
      </c>
      <c r="L24" s="10" t="str">
        <f>"{Service=0x"&amp;TEXT('UUID Table'!$D$145,"0000")&amp;" (""Service B.1"")}"</f>
        <v>{Service=0xA00B ("Service B.1")}</v>
      </c>
      <c r="M24" s="10"/>
    </row>
    <row r="25" spans="1:14" x14ac:dyDescent="0.2">
      <c r="A25" s="35">
        <f>A24+1</f>
        <v>49</v>
      </c>
      <c r="B25" s="5" t="str">
        <f t="shared" si="0"/>
        <v>0031</v>
      </c>
      <c r="C25" s="5" t="str">
        <f>UUIDLOOKUP(F25,'UUID Table'!$C$10:$C$201,'UUID Table'!$D$10:$D$201)</f>
        <v>2803</v>
      </c>
      <c r="D25" s="5" t="str">
        <f>UUIDLOOKUP(F25,'UUID Table'!$C$10:$C$201,'UUID Table'!$E$10:$E$201)</f>
        <v>0000280300001000800000805F9B34FB</v>
      </c>
      <c r="E25" s="6" t="s">
        <v>1</v>
      </c>
      <c r="F25" s="6" t="s">
        <v>32</v>
      </c>
      <c r="G25" s="6"/>
      <c r="H25" s="30" t="s">
        <v>22</v>
      </c>
      <c r="I25" s="30" t="s">
        <v>23</v>
      </c>
      <c r="J25" s="30" t="s">
        <v>23</v>
      </c>
      <c r="K25" s="30" t="s">
        <v>23</v>
      </c>
      <c r="L25" s="7" t="str">
        <f>"{properties=0x0A, handle=0x"&amp;TEXT(B26,"0000")&amp;", UUID=0x"&amp;TEXT(C26,"0000")&amp;"}"</f>
        <v>{properties=0x0A, handle=0x0032, UUID=0xB004}</v>
      </c>
      <c r="M25" s="7"/>
    </row>
    <row r="26" spans="1:14" x14ac:dyDescent="0.2">
      <c r="A26" s="26">
        <f>A25+1</f>
        <v>50</v>
      </c>
      <c r="B26" s="1" t="str">
        <f t="shared" si="0"/>
        <v>0032</v>
      </c>
      <c r="C26" s="13" t="str">
        <f>UUIDLOOKUP(G26,'UUID Table'!$C$10:$C$201,'UUID Table'!$D$10:$D$201)</f>
        <v>B004</v>
      </c>
      <c r="D26" s="13" t="str">
        <f>UUIDLOOKUP(G26,'UUID Table'!$C$10:$C$201,'UUID Table'!$E$10:$E$201)</f>
        <v>0000B00400001000800000805F9B34FB</v>
      </c>
      <c r="G26" s="42" t="s">
        <v>401</v>
      </c>
      <c r="H26" s="1" t="s">
        <v>22</v>
      </c>
      <c r="I26" s="71" t="s">
        <v>22</v>
      </c>
      <c r="J26" s="71" t="s">
        <v>23</v>
      </c>
      <c r="K26" s="1" t="s">
        <v>23</v>
      </c>
      <c r="L26" s="36" t="s">
        <v>350</v>
      </c>
    </row>
    <row r="27" spans="1:14" x14ac:dyDescent="0.2">
      <c r="A27" s="40">
        <v>64</v>
      </c>
      <c r="B27" s="8" t="str">
        <f t="shared" ref="B27:B32" si="4">DEC2HEX(A27,4)</f>
        <v>0040</v>
      </c>
      <c r="C27" s="8" t="str">
        <f>UUIDLOOKUP(E27,'UUID Table'!$C$10:$C$201,'UUID Table'!$D$10:$D$201)</f>
        <v>2800</v>
      </c>
      <c r="D27" s="8" t="str">
        <f>UUIDLOOKUP(E27,'UUID Table'!$C$10:$C$201,'UUID Table'!$E$10:$E$201)</f>
        <v>0000280000001000800000805F9B34FB</v>
      </c>
      <c r="E27" s="67" t="s">
        <v>376</v>
      </c>
      <c r="F27" s="8"/>
      <c r="G27" s="8"/>
      <c r="H27" s="8" t="s">
        <v>22</v>
      </c>
      <c r="I27" s="8" t="s">
        <v>23</v>
      </c>
      <c r="J27" s="8" t="s">
        <v>23</v>
      </c>
      <c r="K27" s="8" t="s">
        <v>23</v>
      </c>
      <c r="L27" s="10" t="str">
        <f>"{Service=0x"&amp;TEXT('UUID Table'!$D$145,"0000")&amp;" (""Service B.2"")}"</f>
        <v>{Service=0xA00B ("Service B.2")}</v>
      </c>
      <c r="M27" s="10"/>
    </row>
    <row r="28" spans="1:14" x14ac:dyDescent="0.2">
      <c r="A28" s="35">
        <f t="shared" ref="A28:A33" si="5">A27+1</f>
        <v>65</v>
      </c>
      <c r="B28" s="5" t="str">
        <f t="shared" si="4"/>
        <v>0041</v>
      </c>
      <c r="C28" s="5" t="str">
        <f>UUIDLOOKUP(F28,'UUID Table'!$C$10:$C$201,'UUID Table'!$D$10:$D$201)</f>
        <v>2803</v>
      </c>
      <c r="D28" s="5" t="str">
        <f>UUIDLOOKUP(F28,'UUID Table'!$C$10:$C$201,'UUID Table'!$E$10:$E$201)</f>
        <v>0000280300001000800000805F9B34FB</v>
      </c>
      <c r="E28" s="6" t="s">
        <v>1</v>
      </c>
      <c r="F28" s="6" t="s">
        <v>32</v>
      </c>
      <c r="G28" s="6"/>
      <c r="H28" s="30" t="s">
        <v>22</v>
      </c>
      <c r="I28" s="72" t="s">
        <v>23</v>
      </c>
      <c r="J28" s="72" t="s">
        <v>23</v>
      </c>
      <c r="K28" s="30" t="s">
        <v>23</v>
      </c>
      <c r="L28" s="7" t="str">
        <f>"{properties=0x8A, handle=0x"&amp;TEXT(B29,"0000")&amp;", UUID=0x"&amp;TEXT(C29,"0000")&amp;"}"</f>
        <v>{properties=0x8A, handle=0x0042, UUID=0xB005}</v>
      </c>
      <c r="M28" s="7"/>
    </row>
    <row r="29" spans="1:14" x14ac:dyDescent="0.2">
      <c r="A29" s="26">
        <f t="shared" si="5"/>
        <v>66</v>
      </c>
      <c r="B29" s="1" t="str">
        <f t="shared" si="4"/>
        <v>0042</v>
      </c>
      <c r="C29" s="13" t="str">
        <f>UUIDLOOKUP(G29,'UUID Table'!$C$10:$C$201,'UUID Table'!$D$10:$D$201)</f>
        <v>B005</v>
      </c>
      <c r="D29" s="13" t="str">
        <f>UUIDLOOKUP(G29,'UUID Table'!$C$10:$C$201,'UUID Table'!$E$10:$E$201)</f>
        <v>0000B00500001000800000805F9B34FB</v>
      </c>
      <c r="G29" s="42" t="s">
        <v>385</v>
      </c>
      <c r="H29" s="1" t="s">
        <v>22</v>
      </c>
      <c r="I29" s="71" t="s">
        <v>22</v>
      </c>
      <c r="J29" s="71" t="s">
        <v>23</v>
      </c>
      <c r="K29" s="1" t="s">
        <v>23</v>
      </c>
      <c r="L29" s="69" t="s">
        <v>416</v>
      </c>
    </row>
    <row r="30" spans="1:14" x14ac:dyDescent="0.2">
      <c r="A30" s="26">
        <f t="shared" si="5"/>
        <v>67</v>
      </c>
      <c r="B30" s="13" t="str">
        <f t="shared" si="4"/>
        <v>0043</v>
      </c>
      <c r="C30" s="13" t="str">
        <f>UUIDLOOKUP(G30,'UUID Table'!$C$10:$C$201,'UUID Table'!$D$10:$D$201)</f>
        <v>2900</v>
      </c>
      <c r="D30" s="13" t="str">
        <f>UUIDLOOKUP(G30,'UUID Table'!$C$10:$C$201,'UUID Table'!$E$10:$E$201)</f>
        <v>0000290000001000800000805F9B34FB</v>
      </c>
      <c r="G30" s="3" t="s">
        <v>349</v>
      </c>
      <c r="H30" s="27" t="s">
        <v>22</v>
      </c>
      <c r="I30" s="27" t="s">
        <v>23</v>
      </c>
      <c r="J30" s="27" t="s">
        <v>23</v>
      </c>
      <c r="K30" s="27" t="s">
        <v>23</v>
      </c>
      <c r="L30" s="4" t="s">
        <v>351</v>
      </c>
      <c r="M30" s="68" t="s">
        <v>411</v>
      </c>
    </row>
    <row r="31" spans="1:14" x14ac:dyDescent="0.2">
      <c r="A31" s="26">
        <f t="shared" si="5"/>
        <v>68</v>
      </c>
      <c r="B31" s="1" t="str">
        <f t="shared" si="4"/>
        <v>0044</v>
      </c>
      <c r="C31" s="13" t="str">
        <f>UUIDLOOKUP(G31,'UUID Table'!$C$10:$C$201,'UUID Table'!$D$10:$D$201)</f>
        <v>2901</v>
      </c>
      <c r="D31" s="13" t="str">
        <f>UUIDLOOKUP(G31,'UUID Table'!$C$10:$C$201,'UUID Table'!$E$10:$E$201)</f>
        <v>0000290100001000800000805F9B34FB</v>
      </c>
      <c r="G31" s="4" t="s">
        <v>4</v>
      </c>
      <c r="H31" s="1" t="s">
        <v>22</v>
      </c>
      <c r="I31" s="1" t="s">
        <v>22</v>
      </c>
      <c r="J31" s="71" t="s">
        <v>23</v>
      </c>
      <c r="K31" s="1" t="s">
        <v>23</v>
      </c>
      <c r="L31" s="65" t="s">
        <v>413</v>
      </c>
      <c r="M31" s="68" t="s">
        <v>412</v>
      </c>
    </row>
    <row r="32" spans="1:14" x14ac:dyDescent="0.2">
      <c r="A32" s="26">
        <f t="shared" si="5"/>
        <v>69</v>
      </c>
      <c r="B32" s="13" t="str">
        <f t="shared" si="4"/>
        <v>0045</v>
      </c>
      <c r="C32" s="13" t="str">
        <f>UUIDLOOKUP(G32,'UUID Table'!$C$10:$C$201,'UUID Table'!$D$10:$D$201)</f>
        <v>2904</v>
      </c>
      <c r="D32" s="13" t="str">
        <f>UUIDLOOKUP(G32,'UUID Table'!$C$10:$C$201,'UUID Table'!$E$10:$E$201)</f>
        <v>0000290400001000800000805F9B34FB</v>
      </c>
      <c r="G32" s="3" t="s">
        <v>3</v>
      </c>
      <c r="H32" s="27" t="s">
        <v>22</v>
      </c>
      <c r="I32" s="27" t="s">
        <v>23</v>
      </c>
      <c r="J32" s="27" t="s">
        <v>23</v>
      </c>
      <c r="K32" s="27" t="s">
        <v>23</v>
      </c>
      <c r="L32" s="4" t="str">
        <f>"{format=0x04, exp=0x00, unit=0x3001, n_sp=0x01, descr=0x3111}"</f>
        <v>{format=0x04, exp=0x00, unit=0x3001, n_sp=0x01, descr=0x3111}</v>
      </c>
      <c r="M32" s="68" t="s">
        <v>414</v>
      </c>
    </row>
    <row r="33" spans="1:14" x14ac:dyDescent="0.2">
      <c r="A33" s="26">
        <f t="shared" si="5"/>
        <v>70</v>
      </c>
      <c r="B33" s="13" t="str">
        <f t="shared" ref="B33:B39" si="6">DEC2HEX(A33,4)</f>
        <v>0046</v>
      </c>
      <c r="C33" s="13" t="str">
        <f>UUIDLOOKUP(G33,'UUID Table'!$C$10:$C$201,'UUID Table'!$E$10:$E$201)</f>
        <v>0000D5D4000000000123456789ABCDEF</v>
      </c>
      <c r="D33" s="13" t="str">
        <f>UUIDLOOKUP(G33,'UUID Table'!$C$10:$C$201,'UUID Table'!$E$10:$E$201)</f>
        <v>0000D5D4000000000123456789ABCDEF</v>
      </c>
      <c r="G33" s="68" t="s">
        <v>406</v>
      </c>
      <c r="H33" s="27" t="s">
        <v>22</v>
      </c>
      <c r="I33" s="27" t="s">
        <v>23</v>
      </c>
      <c r="J33" s="27" t="s">
        <v>23</v>
      </c>
      <c r="K33" s="27" t="s">
        <v>23</v>
      </c>
      <c r="L33" s="65" t="s">
        <v>415</v>
      </c>
      <c r="M33" s="68"/>
    </row>
    <row r="34" spans="1:14" x14ac:dyDescent="0.2">
      <c r="A34" s="40">
        <v>80</v>
      </c>
      <c r="B34" s="8" t="str">
        <f t="shared" si="6"/>
        <v>0050</v>
      </c>
      <c r="C34" s="8" t="str">
        <f>UUIDLOOKUP(E34,'UUID Table'!$C$10:$C$201,'UUID Table'!$D$10:$D$201)</f>
        <v>2800</v>
      </c>
      <c r="D34" s="8" t="str">
        <f>UUIDLOOKUP(E34,'UUID Table'!$C$10:$C$201,'UUID Table'!$E$10:$E$201)</f>
        <v>0000280000001000800000805F9B34FB</v>
      </c>
      <c r="E34" s="67" t="s">
        <v>376</v>
      </c>
      <c r="F34" s="8"/>
      <c r="G34" s="8"/>
      <c r="H34" s="8" t="s">
        <v>22</v>
      </c>
      <c r="I34" s="8" t="s">
        <v>23</v>
      </c>
      <c r="J34" s="8" t="s">
        <v>23</v>
      </c>
      <c r="K34" s="8" t="s">
        <v>23</v>
      </c>
      <c r="L34" s="10" t="str">
        <f>"{Service=0x"&amp;TEXT('UUID Table'!$D$145,"0000")&amp;" (""Service B.3"")}"</f>
        <v>{Service=0xA00B ("Service B.3")}</v>
      </c>
      <c r="M34" s="10"/>
    </row>
    <row r="35" spans="1:14" x14ac:dyDescent="0.2">
      <c r="A35" s="35">
        <f>A34+1</f>
        <v>81</v>
      </c>
      <c r="B35" s="5" t="str">
        <f t="shared" si="6"/>
        <v>0051</v>
      </c>
      <c r="C35" s="5" t="str">
        <f>UUIDLOOKUP(F35,'UUID Table'!$C$10:$C$201,'UUID Table'!$D$10:$D$201)</f>
        <v>2803</v>
      </c>
      <c r="D35" s="5" t="str">
        <f>UUIDLOOKUP(F35,'UUID Table'!$C$10:$C$201,'UUID Table'!$E$10:$E$201)</f>
        <v>0000280300001000800000805F9B34FB</v>
      </c>
      <c r="E35" s="6" t="s">
        <v>1</v>
      </c>
      <c r="F35" s="6" t="s">
        <v>32</v>
      </c>
      <c r="G35" s="6"/>
      <c r="H35" s="30" t="s">
        <v>22</v>
      </c>
      <c r="I35" s="30" t="s">
        <v>23</v>
      </c>
      <c r="J35" s="30" t="s">
        <v>23</v>
      </c>
      <c r="K35" s="30" t="s">
        <v>23</v>
      </c>
      <c r="L35" s="7" t="str">
        <f>"{properties=0x3E, handle=0x"&amp;TEXT(B36,"0000")&amp;", UUID=0x"&amp;TEXT(C36,"0000")&amp;"}"</f>
        <v>{properties=0x3E, handle=0x0052, UUID=0xB006}</v>
      </c>
      <c r="M35" s="7" t="s">
        <v>420</v>
      </c>
    </row>
    <row r="36" spans="1:14" x14ac:dyDescent="0.2">
      <c r="A36" s="26">
        <f>A35+1</f>
        <v>82</v>
      </c>
      <c r="B36" s="1" t="str">
        <f t="shared" si="6"/>
        <v>0052</v>
      </c>
      <c r="C36" s="13" t="str">
        <f>UUIDLOOKUP(G36,'UUID Table'!$C$10:$C$201,'UUID Table'!$D$10:$D$201)</f>
        <v>B006</v>
      </c>
      <c r="D36" s="13" t="str">
        <f>UUIDLOOKUP(G36,'UUID Table'!$C$10:$C$201,'UUID Table'!$E$10:$E$201)</f>
        <v>0000B00600001000800000805F9B34FB</v>
      </c>
      <c r="G36" s="42" t="s">
        <v>386</v>
      </c>
      <c r="H36" s="1" t="s">
        <v>22</v>
      </c>
      <c r="I36" s="71" t="s">
        <v>22</v>
      </c>
      <c r="J36" s="71" t="s">
        <v>23</v>
      </c>
      <c r="K36" s="71" t="s">
        <v>22</v>
      </c>
      <c r="L36" s="69" t="s">
        <v>417</v>
      </c>
    </row>
    <row r="37" spans="1:14" x14ac:dyDescent="0.2">
      <c r="A37" s="40">
        <v>96</v>
      </c>
      <c r="B37" s="8" t="str">
        <f t="shared" si="6"/>
        <v>0060</v>
      </c>
      <c r="C37" s="8" t="str">
        <f>UUIDLOOKUP(E37,'UUID Table'!$C$10:$C$201,'UUID Table'!$D$10:$D$201)</f>
        <v>2800</v>
      </c>
      <c r="D37" s="8" t="str">
        <f>UUIDLOOKUP(E37,'UUID Table'!$C$10:$C$201,'UUID Table'!$E$10:$E$201)</f>
        <v>0000280000001000800000805F9B34FB</v>
      </c>
      <c r="E37" s="67" t="s">
        <v>376</v>
      </c>
      <c r="F37" s="8"/>
      <c r="G37" s="8"/>
      <c r="H37" s="8" t="s">
        <v>22</v>
      </c>
      <c r="I37" s="8" t="s">
        <v>23</v>
      </c>
      <c r="J37" s="8" t="s">
        <v>23</v>
      </c>
      <c r="K37" s="8" t="s">
        <v>23</v>
      </c>
      <c r="L37" s="10" t="str">
        <f>"{Service=0x"&amp;TEXT('UUID Table'!$D$145,"0000")&amp;" (""Service B.4"")}"</f>
        <v>{Service=0xA00B ("Service B.4")}</v>
      </c>
      <c r="M37" s="10"/>
    </row>
    <row r="38" spans="1:14" x14ac:dyDescent="0.2">
      <c r="A38" s="35">
        <f>A37+1</f>
        <v>97</v>
      </c>
      <c r="B38" s="5" t="str">
        <f t="shared" si="6"/>
        <v>0061</v>
      </c>
      <c r="C38" s="5" t="str">
        <f>UUIDLOOKUP(F38,'UUID Table'!$C$10:$C$201,'UUID Table'!$D$10:$D$201)</f>
        <v>2803</v>
      </c>
      <c r="D38" s="5" t="str">
        <f>UUIDLOOKUP(F38,'UUID Table'!$C$10:$C$201,'UUID Table'!$E$10:$E$201)</f>
        <v>0000280300001000800000805F9B34FB</v>
      </c>
      <c r="E38" s="6" t="s">
        <v>1</v>
      </c>
      <c r="F38" s="6" t="s">
        <v>32</v>
      </c>
      <c r="G38" s="6"/>
      <c r="H38" s="30" t="s">
        <v>22</v>
      </c>
      <c r="I38" s="30" t="s">
        <v>23</v>
      </c>
      <c r="J38" s="30" t="s">
        <v>23</v>
      </c>
      <c r="K38" s="30" t="s">
        <v>23</v>
      </c>
      <c r="L38" s="7" t="str">
        <f>"{properties=0x02, handle=0x"&amp;TEXT(B39,"0000")&amp;", UUID=0x"&amp;TEXT(C39,"0000")&amp;"}"</f>
        <v>{properties=0x02, handle=0x0062, UUID=0xB007}</v>
      </c>
      <c r="M38" s="7"/>
    </row>
    <row r="39" spans="1:14" x14ac:dyDescent="0.2">
      <c r="A39" s="26">
        <f>A38+1</f>
        <v>98</v>
      </c>
      <c r="B39" s="1" t="str">
        <f t="shared" si="6"/>
        <v>0062</v>
      </c>
      <c r="C39" s="13" t="str">
        <f>UUIDLOOKUP(G39,'UUID Table'!$C$10:$C$201,'UUID Table'!$D$10:$D$201)</f>
        <v>B007</v>
      </c>
      <c r="D39" s="13" t="str">
        <f>UUIDLOOKUP(G39,'UUID Table'!$C$10:$C$201,'UUID Table'!$E$10:$E$201)</f>
        <v>0000B00700001000800000805F9B34FB</v>
      </c>
      <c r="G39" s="42" t="s">
        <v>387</v>
      </c>
      <c r="H39" s="1" t="s">
        <v>22</v>
      </c>
      <c r="I39" s="1" t="s">
        <v>23</v>
      </c>
      <c r="J39" s="1" t="s">
        <v>23</v>
      </c>
      <c r="K39" s="1" t="s">
        <v>23</v>
      </c>
      <c r="L39" s="69" t="s">
        <v>418</v>
      </c>
    </row>
    <row r="40" spans="1:14" x14ac:dyDescent="0.2">
      <c r="A40" s="40">
        <v>112</v>
      </c>
      <c r="B40" s="8" t="str">
        <f t="shared" ref="B40:B49" si="7">DEC2HEX(A40,4)</f>
        <v>0070</v>
      </c>
      <c r="C40" s="8" t="str">
        <f>UUIDLOOKUP(E40,'UUID Table'!$C$10:$C$201,'UUID Table'!$D$10:$D$201)</f>
        <v>2800</v>
      </c>
      <c r="D40" s="8" t="str">
        <f>UUIDLOOKUP(E40,'UUID Table'!$C$10:$C$201,'UUID Table'!$E$10:$E$201)</f>
        <v>0000280000001000800000805F9B34FB</v>
      </c>
      <c r="E40" s="67" t="s">
        <v>376</v>
      </c>
      <c r="F40" s="8"/>
      <c r="G40" s="8"/>
      <c r="H40" s="8" t="s">
        <v>22</v>
      </c>
      <c r="I40" s="8" t="s">
        <v>23</v>
      </c>
      <c r="J40" s="8" t="s">
        <v>23</v>
      </c>
      <c r="K40" s="8" t="s">
        <v>23</v>
      </c>
      <c r="L40" s="10" t="str">
        <f>"{Service=0x"&amp;TEXT('UUID Table'!$D$145,"0000")&amp;" (""Service B.5"")}"</f>
        <v>{Service=0xA00B ("Service B.5")}</v>
      </c>
      <c r="M40" s="10"/>
    </row>
    <row r="41" spans="1:14" x14ac:dyDescent="0.2">
      <c r="A41" s="35">
        <f>A40+1</f>
        <v>113</v>
      </c>
      <c r="B41" s="5" t="str">
        <f t="shared" si="7"/>
        <v>0071</v>
      </c>
      <c r="C41" s="5" t="str">
        <f>UUIDLOOKUP(F41,'UUID Table'!$C$10:$C$201,'UUID Table'!$D$10:$D$201)</f>
        <v>2803</v>
      </c>
      <c r="D41" s="5" t="str">
        <f>UUIDLOOKUP(F41,'UUID Table'!$C$10:$C$201,'UUID Table'!$E$10:$E$201)</f>
        <v>0000280300001000800000805F9B34FB</v>
      </c>
      <c r="E41" s="6" t="s">
        <v>1</v>
      </c>
      <c r="F41" s="6" t="s">
        <v>32</v>
      </c>
      <c r="G41" s="6"/>
      <c r="H41" s="30" t="s">
        <v>22</v>
      </c>
      <c r="I41" s="30" t="s">
        <v>23</v>
      </c>
      <c r="J41" s="30" t="s">
        <v>23</v>
      </c>
      <c r="K41" s="30" t="s">
        <v>23</v>
      </c>
      <c r="L41" s="7" t="str">
        <f>"{properties=0x02, handle=0x"&amp;TEXT(B42,"0000")&amp;", UUID=0x"&amp;TEXT(C42,"0000")&amp;"}"</f>
        <v>{properties=0x02, handle=0x0072, UUID=0xB008}</v>
      </c>
      <c r="M41" s="7"/>
    </row>
    <row r="42" spans="1:14" x14ac:dyDescent="0.2">
      <c r="A42" s="26">
        <f>A41+1</f>
        <v>114</v>
      </c>
      <c r="B42" s="1" t="str">
        <f t="shared" si="7"/>
        <v>0072</v>
      </c>
      <c r="C42" s="13" t="str">
        <f>UUIDLOOKUP(G42,'UUID Table'!$C$10:$C$201,'UUID Table'!$D$10:$D$201)</f>
        <v>B008</v>
      </c>
      <c r="D42" s="13" t="str">
        <f>UUIDLOOKUP(G42,'UUID Table'!$C$10:$C$201,'UUID Table'!$E$10:$E$201)</f>
        <v>0000B00800001000800000805F9B34FB</v>
      </c>
      <c r="G42" s="42" t="s">
        <v>389</v>
      </c>
      <c r="H42" s="1" t="s">
        <v>22</v>
      </c>
      <c r="I42" s="1" t="s">
        <v>23</v>
      </c>
      <c r="J42" s="1" t="s">
        <v>23</v>
      </c>
      <c r="K42" s="1" t="s">
        <v>23</v>
      </c>
      <c r="L42" s="69" t="s">
        <v>419</v>
      </c>
    </row>
    <row r="43" spans="1:14" x14ac:dyDescent="0.2">
      <c r="A43" s="40">
        <v>128</v>
      </c>
      <c r="B43" s="8" t="str">
        <f t="shared" si="7"/>
        <v>0080</v>
      </c>
      <c r="C43" s="8" t="str">
        <f>UUIDLOOKUP(E43,'UUID Table'!$C$10:$C$201,'UUID Table'!$D$10:$D$201)</f>
        <v>2800</v>
      </c>
      <c r="D43" s="8" t="str">
        <f>UUIDLOOKUP(E43,'UUID Table'!$C$10:$C$201,'UUID Table'!$E$10:$E$201)</f>
        <v>0000280000001000800000805F9B34FB</v>
      </c>
      <c r="E43" s="67" t="s">
        <v>376</v>
      </c>
      <c r="F43" s="8"/>
      <c r="G43" s="8"/>
      <c r="H43" s="8" t="s">
        <v>22</v>
      </c>
      <c r="I43" s="8" t="s">
        <v>23</v>
      </c>
      <c r="J43" s="8" t="s">
        <v>23</v>
      </c>
      <c r="K43" s="8" t="s">
        <v>23</v>
      </c>
      <c r="L43" s="10" t="str">
        <f>"{Service=0x"&amp;TEXT('UUID Table'!$E$155,"0000")&amp;" (""Service C.1"")}"</f>
        <v>{Service=0x0000A00C000000000123456789ABCDEF ("Service C.1")}</v>
      </c>
      <c r="M43" s="10"/>
    </row>
    <row r="44" spans="1:14" s="23" customFormat="1" x14ac:dyDescent="0.2">
      <c r="A44" s="54">
        <f t="shared" ref="A44:A49" si="8">A43+1</f>
        <v>129</v>
      </c>
      <c r="B44" s="1" t="str">
        <f t="shared" si="7"/>
        <v>0081</v>
      </c>
      <c r="C44" s="13" t="str">
        <f>UUIDLOOKUP(G44,'UUID Table'!$C$10:$C$201,'UUID Table'!$D$10:$D$201)</f>
        <v>2802</v>
      </c>
      <c r="D44" s="13"/>
      <c r="F44" s="13"/>
      <c r="G44" s="56" t="s">
        <v>348</v>
      </c>
      <c r="H44" s="13" t="s">
        <v>22</v>
      </c>
      <c r="I44" s="13" t="s">
        <v>23</v>
      </c>
      <c r="J44" s="13" t="s">
        <v>23</v>
      </c>
      <c r="K44" s="13" t="s">
        <v>23</v>
      </c>
      <c r="L44" s="55" t="str">
        <f>"{handle=0x"&amp;TEXT(B65,"0000")&amp;", end group handle=0x"&amp;TEXT(B69,"0000")&amp;", UUID=0x"&amp;TEXT('UUID Table'!$D$160,"0000")&amp;"}"</f>
        <v>{handle=0x00A0, end group handle=0x00A4, UUID=0xA00D}</v>
      </c>
      <c r="M44" s="74" t="s">
        <v>426</v>
      </c>
      <c r="N44" s="3"/>
    </row>
    <row r="45" spans="1:14" x14ac:dyDescent="0.2">
      <c r="A45" s="35">
        <f t="shared" si="8"/>
        <v>130</v>
      </c>
      <c r="B45" s="5" t="str">
        <f t="shared" si="7"/>
        <v>0082</v>
      </c>
      <c r="C45" s="5" t="str">
        <f>UUIDLOOKUP(F45,'UUID Table'!$C$10:$C$201,'UUID Table'!$D$10:$D$201)</f>
        <v>2803</v>
      </c>
      <c r="D45" s="5" t="str">
        <f>UUIDLOOKUP(F45,'UUID Table'!$C$10:$C$201,'UUID Table'!$E$10:$E$201)</f>
        <v>0000280300001000800000805F9B34FB</v>
      </c>
      <c r="E45" s="6" t="s">
        <v>1</v>
      </c>
      <c r="F45" s="6" t="s">
        <v>32</v>
      </c>
      <c r="G45" s="6"/>
      <c r="H45" s="30" t="s">
        <v>22</v>
      </c>
      <c r="I45" s="30" t="s">
        <v>23</v>
      </c>
      <c r="J45" s="30" t="s">
        <v>23</v>
      </c>
      <c r="K45" s="30" t="s">
        <v>23</v>
      </c>
      <c r="L45" s="7" t="str">
        <f>"{properties=0x8A, handle=0x"&amp;TEXT(B46,"0000")&amp;", UUID=0x"&amp;TEXT(C46,"0000")&amp;"}"</f>
        <v>{properties=0x8A, handle=0x0083, UUID=0x0000B009000000000123456789ABCDEF}</v>
      </c>
      <c r="M45" s="7"/>
    </row>
    <row r="46" spans="1:14" x14ac:dyDescent="0.2">
      <c r="A46" s="26">
        <f t="shared" si="8"/>
        <v>131</v>
      </c>
      <c r="B46" s="1" t="str">
        <f t="shared" si="7"/>
        <v>0083</v>
      </c>
      <c r="C46" s="13" t="str">
        <f>UUIDLOOKUP(G46,'UUID Table'!$C$10:$C$201,'UUID Table'!$E$10:$E$201)</f>
        <v>0000B009000000000123456789ABCDEF</v>
      </c>
      <c r="D46" s="13" t="str">
        <f>UUIDLOOKUP(G46,'UUID Table'!$C$10:$C$201,'UUID Table'!$E$10:$E$201)</f>
        <v>0000B009000000000123456789ABCDEF</v>
      </c>
      <c r="G46" s="42" t="s">
        <v>394</v>
      </c>
      <c r="H46" s="1" t="s">
        <v>22</v>
      </c>
      <c r="I46" s="71" t="s">
        <v>22</v>
      </c>
      <c r="J46" s="71" t="s">
        <v>23</v>
      </c>
      <c r="K46" s="1" t="s">
        <v>23</v>
      </c>
      <c r="L46" s="69" t="s">
        <v>421</v>
      </c>
    </row>
    <row r="47" spans="1:14" x14ac:dyDescent="0.2">
      <c r="A47" s="26">
        <f t="shared" si="8"/>
        <v>132</v>
      </c>
      <c r="B47" s="13" t="str">
        <f t="shared" si="7"/>
        <v>0084</v>
      </c>
      <c r="C47" s="13" t="str">
        <f>UUIDLOOKUP(G47,'UUID Table'!$C$10:$C$201,'UUID Table'!$D$10:$D$201)</f>
        <v>2900</v>
      </c>
      <c r="D47" s="13" t="str">
        <f>UUIDLOOKUP(G47,'UUID Table'!$C$10:$C$201,'UUID Table'!$E$10:$E$201)</f>
        <v>0000290000001000800000805F9B34FB</v>
      </c>
      <c r="G47" s="3" t="s">
        <v>349</v>
      </c>
      <c r="H47" s="27" t="s">
        <v>22</v>
      </c>
      <c r="I47" s="27" t="s">
        <v>23</v>
      </c>
      <c r="J47" s="27" t="s">
        <v>23</v>
      </c>
      <c r="K47" s="27" t="s">
        <v>23</v>
      </c>
      <c r="L47" s="65" t="s">
        <v>352</v>
      </c>
      <c r="M47" s="68" t="s">
        <v>422</v>
      </c>
    </row>
    <row r="48" spans="1:14" x14ac:dyDescent="0.2">
      <c r="A48" s="26">
        <f t="shared" si="8"/>
        <v>133</v>
      </c>
      <c r="B48" s="13" t="str">
        <f t="shared" si="7"/>
        <v>0085</v>
      </c>
      <c r="C48" s="13" t="str">
        <f>UUIDLOOKUP(G48,'UUID Table'!$C$10:$C$201,'UUID Table'!$E$10:$E$201)</f>
        <v>0000D9D2000000000123456789ABCDEF</v>
      </c>
      <c r="D48" s="13" t="str">
        <f>UUIDLOOKUP(G48,'UUID Table'!$C$10:$C$201,'UUID Table'!$E$10:$E$201)</f>
        <v>0000D9D2000000000123456789ABCDEF</v>
      </c>
      <c r="G48" s="68" t="s">
        <v>423</v>
      </c>
      <c r="H48" s="27" t="s">
        <v>22</v>
      </c>
      <c r="I48" s="73" t="s">
        <v>22</v>
      </c>
      <c r="J48" s="73" t="s">
        <v>23</v>
      </c>
      <c r="K48" s="27" t="s">
        <v>23</v>
      </c>
      <c r="L48" s="65" t="s">
        <v>424</v>
      </c>
      <c r="M48" s="68" t="s">
        <v>425</v>
      </c>
    </row>
    <row r="49" spans="1:13" x14ac:dyDescent="0.2">
      <c r="A49" s="26">
        <f t="shared" si="8"/>
        <v>134</v>
      </c>
      <c r="B49" s="13" t="str">
        <f t="shared" si="7"/>
        <v>0086</v>
      </c>
      <c r="C49" s="13" t="str">
        <f>UUIDLOOKUP(G49,'UUID Table'!$C$10:$C$201,'UUID Table'!$E$10:$E$201)</f>
        <v>0000D9D3000000000123456789ABCDEF</v>
      </c>
      <c r="D49" s="13" t="str">
        <f>UUIDLOOKUP(G49,'UUID Table'!$C$10:$C$201,'UUID Table'!$E$10:$E$201)</f>
        <v>0000D9D3000000000123456789ABCDEF</v>
      </c>
      <c r="G49" s="68" t="s">
        <v>445</v>
      </c>
      <c r="H49" s="73" t="s">
        <v>23</v>
      </c>
      <c r="I49" s="73" t="s">
        <v>22</v>
      </c>
      <c r="J49" s="73" t="s">
        <v>23</v>
      </c>
      <c r="K49" s="27" t="s">
        <v>23</v>
      </c>
      <c r="L49" s="65" t="s">
        <v>447</v>
      </c>
      <c r="M49" s="68" t="s">
        <v>448</v>
      </c>
    </row>
    <row r="50" spans="1:13" x14ac:dyDescent="0.2">
      <c r="A50" s="40">
        <v>144</v>
      </c>
      <c r="B50" s="8" t="str">
        <f t="shared" ref="B50:B56" si="9">DEC2HEX(A50,4)</f>
        <v>0090</v>
      </c>
      <c r="C50" s="8" t="str">
        <f>UUIDLOOKUP(E50,'UUID Table'!$C$10:$C$201,'UUID Table'!$D$10:$D$201)</f>
        <v>2800</v>
      </c>
      <c r="D50" s="8" t="str">
        <f>UUIDLOOKUP(E50,'UUID Table'!$C$10:$C$201,'UUID Table'!$E$10:$E$201)</f>
        <v>0000280000001000800000805F9B34FB</v>
      </c>
      <c r="E50" s="67" t="s">
        <v>376</v>
      </c>
      <c r="F50" s="8"/>
      <c r="G50" s="8"/>
      <c r="H50" s="8" t="s">
        <v>22</v>
      </c>
      <c r="I50" s="8" t="s">
        <v>23</v>
      </c>
      <c r="J50" s="8" t="s">
        <v>23</v>
      </c>
      <c r="K50" s="8" t="s">
        <v>23</v>
      </c>
      <c r="L50" s="10" t="str">
        <f>"{Service=0x"&amp;TEXT('UUID Table'!$E$155,"0000")&amp;" (""Service C.2"")}"</f>
        <v>{Service=0x0000A00C000000000123456789ABCDEF ("Service C.2")}</v>
      </c>
      <c r="M50" s="10"/>
    </row>
    <row r="51" spans="1:13" x14ac:dyDescent="0.2">
      <c r="A51" s="35">
        <f>A50+1</f>
        <v>145</v>
      </c>
      <c r="B51" s="5" t="str">
        <f t="shared" si="9"/>
        <v>0091</v>
      </c>
      <c r="C51" s="5" t="str">
        <f>UUIDLOOKUP(F51,'UUID Table'!$C$10:$C$201,'UUID Table'!$D$10:$D$201)</f>
        <v>2803</v>
      </c>
      <c r="D51" s="5" t="str">
        <f>UUIDLOOKUP(F51,'UUID Table'!$C$10:$C$201,'UUID Table'!$E$10:$E$201)</f>
        <v>0000280300001000800000805F9B34FB</v>
      </c>
      <c r="E51" s="6" t="s">
        <v>1</v>
      </c>
      <c r="F51" s="6" t="s">
        <v>32</v>
      </c>
      <c r="G51" s="6"/>
      <c r="H51" s="30" t="s">
        <v>22</v>
      </c>
      <c r="I51" s="30" t="s">
        <v>23</v>
      </c>
      <c r="J51" s="30" t="s">
        <v>23</v>
      </c>
      <c r="K51" s="30" t="s">
        <v>23</v>
      </c>
      <c r="L51" s="7" t="str">
        <f>"{properties=0x02, handle=0x"&amp;TEXT(B52,"0000")&amp;", UUID=0x"&amp;TEXT(C52,"0000")&amp;"}"</f>
        <v>{properties=0x02, handle=0x0092, UUID=0xB00A}</v>
      </c>
      <c r="M51" s="7"/>
    </row>
    <row r="52" spans="1:13" x14ac:dyDescent="0.2">
      <c r="A52" s="26">
        <f>A51+1</f>
        <v>146</v>
      </c>
      <c r="B52" s="1" t="str">
        <f t="shared" si="9"/>
        <v>0092</v>
      </c>
      <c r="C52" s="13" t="str">
        <f>UUIDLOOKUP(G52,'UUID Table'!$C$10:$C$201,'UUID Table'!$D$10:$D$201)</f>
        <v>B00A</v>
      </c>
      <c r="D52" s="13" t="str">
        <f>UUIDLOOKUP(G52,'UUID Table'!$C$10:$C$201,'UUID Table'!$E$10:$E$201)</f>
        <v>0000B00A00001000800000805F9B34FB</v>
      </c>
      <c r="G52" s="42" t="s">
        <v>392</v>
      </c>
      <c r="H52" s="1" t="s">
        <v>22</v>
      </c>
      <c r="I52" s="1" t="s">
        <v>23</v>
      </c>
      <c r="J52" s="1" t="s">
        <v>23</v>
      </c>
      <c r="K52" s="1" t="s">
        <v>23</v>
      </c>
      <c r="L52" s="69" t="s">
        <v>428</v>
      </c>
    </row>
    <row r="53" spans="1:13" x14ac:dyDescent="0.2">
      <c r="A53" s="35">
        <f t="shared" ref="A53:A64" si="10">A52+1</f>
        <v>147</v>
      </c>
      <c r="B53" s="5" t="str">
        <f t="shared" si="9"/>
        <v>0093</v>
      </c>
      <c r="C53" s="5" t="str">
        <f>UUIDLOOKUP(F53,'UUID Table'!$C$10:$C$201,'UUID Table'!$D$10:$D$201)</f>
        <v>2803</v>
      </c>
      <c r="D53" s="5" t="str">
        <f>UUIDLOOKUP(F53,'UUID Table'!$C$10:$C$201,'UUID Table'!$E$10:$E$201)</f>
        <v>0000280300001000800000805F9B34FB</v>
      </c>
      <c r="E53" s="6" t="s">
        <v>1</v>
      </c>
      <c r="F53" s="6" t="s">
        <v>32</v>
      </c>
      <c r="G53" s="6"/>
      <c r="H53" s="30" t="s">
        <v>22</v>
      </c>
      <c r="I53" s="30" t="s">
        <v>23</v>
      </c>
      <c r="J53" s="30" t="s">
        <v>23</v>
      </c>
      <c r="K53" s="30" t="s">
        <v>23</v>
      </c>
      <c r="L53" s="7" t="str">
        <f>"{properties=0x0A, handle=0x"&amp;TEXT(B54,"0000")&amp;", UUID=0x"&amp;TEXT(C54,"0000")&amp;"}"</f>
        <v>{properties=0x0A, handle=0x0094, UUID=0xB002}</v>
      </c>
      <c r="M53" s="7"/>
    </row>
    <row r="54" spans="1:13" x14ac:dyDescent="0.2">
      <c r="A54" s="26">
        <f t="shared" si="10"/>
        <v>148</v>
      </c>
      <c r="B54" s="1" t="str">
        <f t="shared" si="9"/>
        <v>0094</v>
      </c>
      <c r="C54" s="13" t="str">
        <f>UUIDLOOKUP(G54,'UUID Table'!$C$10:$C$201,'UUID Table'!$D$10:$D$201)</f>
        <v>B002</v>
      </c>
      <c r="D54" s="13" t="str">
        <f>UUIDLOOKUP(G54,'UUID Table'!$C$10:$C$201,'UUID Table'!$E$10:$E$201)</f>
        <v>0000B00200001000800000805F9B34FB</v>
      </c>
      <c r="G54" s="42" t="s">
        <v>382</v>
      </c>
      <c r="H54" s="1" t="s">
        <v>22</v>
      </c>
      <c r="I54" s="71" t="s">
        <v>22</v>
      </c>
      <c r="J54" s="71" t="s">
        <v>23</v>
      </c>
      <c r="K54" s="1" t="s">
        <v>23</v>
      </c>
      <c r="L54" s="69" t="s">
        <v>450</v>
      </c>
      <c r="M54" s="68" t="s">
        <v>455</v>
      </c>
    </row>
    <row r="55" spans="1:13" x14ac:dyDescent="0.2">
      <c r="A55" s="35">
        <f t="shared" si="10"/>
        <v>149</v>
      </c>
      <c r="B55" s="5" t="str">
        <f t="shared" si="9"/>
        <v>0095</v>
      </c>
      <c r="C55" s="5" t="str">
        <f>UUIDLOOKUP(F55,'UUID Table'!$C$10:$C$201,'UUID Table'!$D$10:$D$201)</f>
        <v>2803</v>
      </c>
      <c r="D55" s="5" t="str">
        <f>UUIDLOOKUP(F55,'UUID Table'!$C$10:$C$201,'UUID Table'!$E$10:$E$201)</f>
        <v>0000280300001000800000805F9B34FB</v>
      </c>
      <c r="E55" s="6" t="s">
        <v>1</v>
      </c>
      <c r="F55" s="6" t="s">
        <v>32</v>
      </c>
      <c r="G55" s="6"/>
      <c r="H55" s="30" t="s">
        <v>22</v>
      </c>
      <c r="I55" s="30" t="s">
        <v>23</v>
      </c>
      <c r="J55" s="30" t="s">
        <v>23</v>
      </c>
      <c r="K55" s="30" t="s">
        <v>23</v>
      </c>
      <c r="L55" s="7" t="str">
        <f>"{properties=0x0A, handle=0x"&amp;TEXT(B56,"0000")&amp;", UUID=0x"&amp;TEXT(C56,"0000")&amp;"}"</f>
        <v>{properties=0x0A, handle=0x0096, UUID=0xB002}</v>
      </c>
      <c r="M55" s="7"/>
    </row>
    <row r="56" spans="1:13" x14ac:dyDescent="0.2">
      <c r="A56" s="26">
        <f t="shared" si="10"/>
        <v>150</v>
      </c>
      <c r="B56" s="1" t="str">
        <f t="shared" si="9"/>
        <v>0096</v>
      </c>
      <c r="C56" s="13" t="str">
        <f>UUIDLOOKUP(G56,'UUID Table'!$C$10:$C$201,'UUID Table'!$D$10:$D$201)</f>
        <v>B002</v>
      </c>
      <c r="D56" s="13" t="str">
        <f>UUIDLOOKUP(G56,'UUID Table'!$C$10:$C$201,'UUID Table'!$E$10:$E$201)</f>
        <v>0000B00200001000800000805F9B34FB</v>
      </c>
      <c r="G56" s="42" t="s">
        <v>382</v>
      </c>
      <c r="H56" s="1" t="s">
        <v>22</v>
      </c>
      <c r="I56" s="71" t="s">
        <v>22</v>
      </c>
      <c r="J56" s="71" t="s">
        <v>23</v>
      </c>
      <c r="K56" s="1" t="s">
        <v>23</v>
      </c>
      <c r="L56" s="69" t="s">
        <v>451</v>
      </c>
      <c r="M56" s="68" t="s">
        <v>460</v>
      </c>
    </row>
    <row r="57" spans="1:13" x14ac:dyDescent="0.2">
      <c r="A57" s="35">
        <f t="shared" si="10"/>
        <v>151</v>
      </c>
      <c r="B57" s="5" t="str">
        <f t="shared" ref="B57:B62" si="11">DEC2HEX(A57,4)</f>
        <v>0097</v>
      </c>
      <c r="C57" s="5" t="str">
        <f>UUIDLOOKUP(F57,'UUID Table'!$C$10:$C$201,'UUID Table'!$D$10:$D$201)</f>
        <v>2803</v>
      </c>
      <c r="D57" s="5" t="str">
        <f>UUIDLOOKUP(F57,'UUID Table'!$C$10:$C$201,'UUID Table'!$E$10:$E$201)</f>
        <v>0000280300001000800000805F9B34FB</v>
      </c>
      <c r="E57" s="6" t="s">
        <v>1</v>
      </c>
      <c r="F57" s="6" t="s">
        <v>32</v>
      </c>
      <c r="G57" s="6"/>
      <c r="H57" s="30" t="s">
        <v>22</v>
      </c>
      <c r="I57" s="30" t="s">
        <v>23</v>
      </c>
      <c r="J57" s="30" t="s">
        <v>23</v>
      </c>
      <c r="K57" s="30" t="s">
        <v>23</v>
      </c>
      <c r="L57" s="7" t="str">
        <f>"{properties=0x0A, handle=0x"&amp;TEXT(B58,"0000")&amp;", UUID=0x"&amp;TEXT(C58,"0000")&amp;"}"</f>
        <v>{properties=0x0A, handle=0x0098, UUID=0xB002}</v>
      </c>
      <c r="M57" s="7"/>
    </row>
    <row r="58" spans="1:13" x14ac:dyDescent="0.2">
      <c r="A58" s="26">
        <f t="shared" si="10"/>
        <v>152</v>
      </c>
      <c r="B58" s="1" t="str">
        <f t="shared" si="11"/>
        <v>0098</v>
      </c>
      <c r="C58" s="13" t="str">
        <f>UUIDLOOKUP(G58,'UUID Table'!$C$10:$C$201,'UUID Table'!$D$10:$D$201)</f>
        <v>B002</v>
      </c>
      <c r="D58" s="13" t="str">
        <f>UUIDLOOKUP(G58,'UUID Table'!$C$10:$C$201,'UUID Table'!$E$10:$E$201)</f>
        <v>0000B00200001000800000805F9B34FB</v>
      </c>
      <c r="G58" s="42" t="s">
        <v>382</v>
      </c>
      <c r="H58" s="1" t="s">
        <v>22</v>
      </c>
      <c r="I58" s="71" t="s">
        <v>22</v>
      </c>
      <c r="J58" s="71" t="s">
        <v>23</v>
      </c>
      <c r="K58" s="1" t="s">
        <v>23</v>
      </c>
      <c r="L58" s="69" t="s">
        <v>452</v>
      </c>
      <c r="M58" s="68" t="s">
        <v>459</v>
      </c>
    </row>
    <row r="59" spans="1:13" x14ac:dyDescent="0.2">
      <c r="A59" s="35">
        <f t="shared" si="10"/>
        <v>153</v>
      </c>
      <c r="B59" s="5" t="str">
        <f t="shared" si="11"/>
        <v>0099</v>
      </c>
      <c r="C59" s="5" t="str">
        <f>UUIDLOOKUP(F59,'UUID Table'!$C$10:$C$201,'UUID Table'!$D$10:$D$201)</f>
        <v>2803</v>
      </c>
      <c r="D59" s="5" t="str">
        <f>UUIDLOOKUP(F59,'UUID Table'!$C$10:$C$201,'UUID Table'!$E$10:$E$201)</f>
        <v>0000280300001000800000805F9B34FB</v>
      </c>
      <c r="E59" s="6" t="s">
        <v>1</v>
      </c>
      <c r="F59" s="6" t="s">
        <v>32</v>
      </c>
      <c r="G59" s="6"/>
      <c r="H59" s="30" t="s">
        <v>22</v>
      </c>
      <c r="I59" s="30" t="s">
        <v>23</v>
      </c>
      <c r="J59" s="30" t="s">
        <v>23</v>
      </c>
      <c r="K59" s="30" t="s">
        <v>23</v>
      </c>
      <c r="L59" s="7" t="str">
        <f>"{properties=0x0A, handle=0x"&amp;TEXT(B60,"0000")&amp;", UUID=0x"&amp;TEXT(C60,"0000")&amp;"}"</f>
        <v>{properties=0x0A, handle=0x009A, UUID=0xB002}</v>
      </c>
      <c r="M59" s="7"/>
    </row>
    <row r="60" spans="1:13" x14ac:dyDescent="0.2">
      <c r="A60" s="26">
        <f t="shared" si="10"/>
        <v>154</v>
      </c>
      <c r="B60" s="1" t="str">
        <f t="shared" si="11"/>
        <v>009A</v>
      </c>
      <c r="C60" s="13" t="str">
        <f>UUIDLOOKUP(G60,'UUID Table'!$C$10:$C$201,'UUID Table'!$D$10:$D$201)</f>
        <v>B002</v>
      </c>
      <c r="D60" s="13" t="str">
        <f>UUIDLOOKUP(G60,'UUID Table'!$C$10:$C$201,'UUID Table'!$E$10:$E$201)</f>
        <v>0000B00200001000800000805F9B34FB</v>
      </c>
      <c r="G60" s="42" t="s">
        <v>382</v>
      </c>
      <c r="H60" s="1" t="s">
        <v>22</v>
      </c>
      <c r="I60" s="71" t="s">
        <v>22</v>
      </c>
      <c r="J60" s="71" t="s">
        <v>23</v>
      </c>
      <c r="K60" s="1" t="s">
        <v>23</v>
      </c>
      <c r="L60" s="69" t="s">
        <v>453</v>
      </c>
      <c r="M60" s="68" t="s">
        <v>458</v>
      </c>
    </row>
    <row r="61" spans="1:13" x14ac:dyDescent="0.2">
      <c r="A61" s="35">
        <f t="shared" si="10"/>
        <v>155</v>
      </c>
      <c r="B61" s="5" t="str">
        <f t="shared" si="11"/>
        <v>009B</v>
      </c>
      <c r="C61" s="5" t="str">
        <f>UUIDLOOKUP(F61,'UUID Table'!$C$10:$C$201,'UUID Table'!$D$10:$D$201)</f>
        <v>2803</v>
      </c>
      <c r="D61" s="5" t="str">
        <f>UUIDLOOKUP(F61,'UUID Table'!$C$10:$C$201,'UUID Table'!$E$10:$E$201)</f>
        <v>0000280300001000800000805F9B34FB</v>
      </c>
      <c r="E61" s="6" t="s">
        <v>1</v>
      </c>
      <c r="F61" s="6" t="s">
        <v>32</v>
      </c>
      <c r="G61" s="6"/>
      <c r="H61" s="30" t="s">
        <v>22</v>
      </c>
      <c r="I61" s="30" t="s">
        <v>23</v>
      </c>
      <c r="J61" s="30" t="s">
        <v>23</v>
      </c>
      <c r="K61" s="30" t="s">
        <v>23</v>
      </c>
      <c r="L61" s="7" t="str">
        <f>"{properties=0x0A, handle=0x"&amp;TEXT(B62,"0000")&amp;", UUID=0x"&amp;TEXT(C62,"0000")&amp;"}"</f>
        <v>{properties=0x0A, handle=0x009C, UUID=0xB002}</v>
      </c>
      <c r="M61" s="7"/>
    </row>
    <row r="62" spans="1:13" x14ac:dyDescent="0.2">
      <c r="A62" s="26">
        <f t="shared" si="10"/>
        <v>156</v>
      </c>
      <c r="B62" s="1" t="str">
        <f t="shared" si="11"/>
        <v>009C</v>
      </c>
      <c r="C62" s="13" t="str">
        <f>UUIDLOOKUP(G62,'UUID Table'!$C$10:$C$201,'UUID Table'!$D$10:$D$201)</f>
        <v>B002</v>
      </c>
      <c r="D62" s="13" t="str">
        <f>UUIDLOOKUP(G62,'UUID Table'!$C$10:$C$201,'UUID Table'!$E$10:$E$201)</f>
        <v>0000B00200001000800000805F9B34FB</v>
      </c>
      <c r="G62" s="42" t="s">
        <v>382</v>
      </c>
      <c r="H62" s="1" t="s">
        <v>22</v>
      </c>
      <c r="I62" s="71" t="s">
        <v>22</v>
      </c>
      <c r="J62" s="71" t="s">
        <v>23</v>
      </c>
      <c r="K62" s="1" t="s">
        <v>23</v>
      </c>
      <c r="L62" s="69" t="s">
        <v>454</v>
      </c>
      <c r="M62" s="68" t="s">
        <v>457</v>
      </c>
    </row>
    <row r="63" spans="1:13" x14ac:dyDescent="0.2">
      <c r="A63" s="35">
        <f t="shared" si="10"/>
        <v>157</v>
      </c>
      <c r="B63" s="5" t="str">
        <f t="shared" ref="B63:B72" si="12">DEC2HEX(A63,4)</f>
        <v>009D</v>
      </c>
      <c r="C63" s="5" t="str">
        <f>UUIDLOOKUP(F63,'UUID Table'!$C$10:$C$201,'UUID Table'!$D$10:$D$201)</f>
        <v>2803</v>
      </c>
      <c r="D63" s="5" t="str">
        <f>UUIDLOOKUP(F63,'UUID Table'!$C$10:$C$201,'UUID Table'!$E$10:$E$201)</f>
        <v>0000280300001000800000805F9B34FB</v>
      </c>
      <c r="E63" s="6" t="s">
        <v>1</v>
      </c>
      <c r="F63" s="6" t="s">
        <v>32</v>
      </c>
      <c r="G63" s="6"/>
      <c r="H63" s="30" t="s">
        <v>22</v>
      </c>
      <c r="I63" s="30" t="s">
        <v>23</v>
      </c>
      <c r="J63" s="30" t="s">
        <v>23</v>
      </c>
      <c r="K63" s="30" t="s">
        <v>23</v>
      </c>
      <c r="L63" s="7" t="str">
        <f>"{properties=0x0A, handle=0x"&amp;TEXT(B64,"0000")&amp;", UUID=0x"&amp;TEXT(C64,"0000")&amp;"}"</f>
        <v>{properties=0x0A, handle=0x009E, UUID=0xB002}</v>
      </c>
      <c r="M63" s="7"/>
    </row>
    <row r="64" spans="1:13" x14ac:dyDescent="0.2">
      <c r="A64" s="26">
        <f t="shared" si="10"/>
        <v>158</v>
      </c>
      <c r="B64" s="1" t="str">
        <f t="shared" si="12"/>
        <v>009E</v>
      </c>
      <c r="C64" s="13" t="str">
        <f>UUIDLOOKUP(G64,'UUID Table'!$C$10:$C$201,'UUID Table'!$D$10:$D$201)</f>
        <v>B002</v>
      </c>
      <c r="D64" s="13" t="str">
        <f>UUIDLOOKUP(G64,'UUID Table'!$C$10:$C$201,'UUID Table'!$E$10:$E$201)</f>
        <v>0000B00200001000800000805F9B34FB</v>
      </c>
      <c r="G64" s="42" t="s">
        <v>382</v>
      </c>
      <c r="H64" s="1" t="s">
        <v>22</v>
      </c>
      <c r="I64" s="71" t="s">
        <v>22</v>
      </c>
      <c r="J64" s="71" t="s">
        <v>23</v>
      </c>
      <c r="K64" s="1" t="s">
        <v>23</v>
      </c>
      <c r="L64" s="69" t="s">
        <v>461</v>
      </c>
      <c r="M64" s="68" t="s">
        <v>456</v>
      </c>
    </row>
    <row r="65" spans="1:13" x14ac:dyDescent="0.2">
      <c r="A65" s="40">
        <v>160</v>
      </c>
      <c r="B65" s="8" t="str">
        <f t="shared" si="12"/>
        <v>00A0</v>
      </c>
      <c r="C65" s="8" t="str">
        <f>UUIDLOOKUP(E65,'UUID Table'!$C$10:$C$201,'UUID Table'!$D$10:$D$201)</f>
        <v>2801</v>
      </c>
      <c r="D65" s="8" t="str">
        <f>UUIDLOOKUP(E65,'UUID Table'!$C$10:$C$201,'UUID Table'!$E$10:$E$201)</f>
        <v>0000280100001000800000805F9B34FB</v>
      </c>
      <c r="E65" s="67" t="s">
        <v>377</v>
      </c>
      <c r="F65" s="8"/>
      <c r="G65" s="8"/>
      <c r="H65" s="8" t="s">
        <v>22</v>
      </c>
      <c r="I65" s="8" t="s">
        <v>23</v>
      </c>
      <c r="J65" s="8" t="s">
        <v>23</v>
      </c>
      <c r="K65" s="8" t="s">
        <v>23</v>
      </c>
      <c r="L65" s="10" t="str">
        <f>"{Service=0x"&amp;TEXT('UUID Table'!$D$160,"0000")&amp;" (""Service D"")}"</f>
        <v>{Service=0xA00D ("Service D")}</v>
      </c>
      <c r="M65" s="10"/>
    </row>
    <row r="66" spans="1:13" x14ac:dyDescent="0.2">
      <c r="A66" s="35">
        <f>A65+1</f>
        <v>161</v>
      </c>
      <c r="B66" s="5" t="str">
        <f t="shared" si="12"/>
        <v>00A1</v>
      </c>
      <c r="C66" s="5" t="str">
        <f>UUIDLOOKUP(F66,'UUID Table'!$C$10:$C$201,'UUID Table'!$D$10:$D$201)</f>
        <v>2803</v>
      </c>
      <c r="D66" s="5" t="str">
        <f>UUIDLOOKUP(F66,'UUID Table'!$C$10:$C$201,'UUID Table'!$E$10:$E$201)</f>
        <v>0000280300001000800000805F9B34FB</v>
      </c>
      <c r="E66" s="6" t="s">
        <v>1</v>
      </c>
      <c r="F66" s="6" t="s">
        <v>32</v>
      </c>
      <c r="G66" s="6"/>
      <c r="H66" s="30" t="s">
        <v>22</v>
      </c>
      <c r="I66" s="30" t="s">
        <v>23</v>
      </c>
      <c r="J66" s="30" t="s">
        <v>23</v>
      </c>
      <c r="K66" s="30" t="s">
        <v>23</v>
      </c>
      <c r="L66" s="7" t="str">
        <f>"{properties=0x02, handle=0x"&amp;TEXT(B67,"0000")&amp;", UUID=0x"&amp;TEXT(C67,"0000")&amp;"}"</f>
        <v>{properties=0x02, handle=0x00A2, UUID=0x0000B00B000000000123456789ABCDEF}</v>
      </c>
      <c r="M66" s="7"/>
    </row>
    <row r="67" spans="1:13" x14ac:dyDescent="0.2">
      <c r="A67" s="26">
        <f>A66+1</f>
        <v>162</v>
      </c>
      <c r="B67" s="1" t="str">
        <f t="shared" si="12"/>
        <v>00A2</v>
      </c>
      <c r="C67" s="13" t="str">
        <f>UUIDLOOKUP(G67,'UUID Table'!$C$10:$C$201,'UUID Table'!$E$10:$E$201)</f>
        <v>0000B00B000000000123456789ABCDEF</v>
      </c>
      <c r="D67" s="13" t="str">
        <f>UUIDLOOKUP(G67,'UUID Table'!$C$10:$C$201,'UUID Table'!$E$10:$E$201)</f>
        <v>0000B00B000000000123456789ABCDEF</v>
      </c>
      <c r="G67" s="42" t="s">
        <v>398</v>
      </c>
      <c r="H67" s="1" t="s">
        <v>22</v>
      </c>
      <c r="I67" s="71" t="s">
        <v>23</v>
      </c>
      <c r="J67" s="71" t="s">
        <v>23</v>
      </c>
      <c r="K67" s="1" t="s">
        <v>23</v>
      </c>
      <c r="L67" s="69" t="s">
        <v>429</v>
      </c>
    </row>
    <row r="68" spans="1:13" x14ac:dyDescent="0.2">
      <c r="A68" s="35">
        <f>A67+1</f>
        <v>163</v>
      </c>
      <c r="B68" s="5" t="str">
        <f t="shared" si="12"/>
        <v>00A3</v>
      </c>
      <c r="C68" s="5" t="str">
        <f>UUIDLOOKUP(F68,'UUID Table'!$C$10:$C$201,'UUID Table'!$D$10:$D$201)</f>
        <v>2803</v>
      </c>
      <c r="D68" s="5" t="str">
        <f>UUIDLOOKUP(F68,'UUID Table'!$C$10:$C$201,'UUID Table'!$E$10:$E$201)</f>
        <v>0000280300001000800000805F9B34FB</v>
      </c>
      <c r="E68" s="6" t="s">
        <v>1</v>
      </c>
      <c r="F68" s="6" t="s">
        <v>32</v>
      </c>
      <c r="G68" s="6"/>
      <c r="H68" s="30" t="s">
        <v>22</v>
      </c>
      <c r="I68" s="30" t="s">
        <v>23</v>
      </c>
      <c r="J68" s="30" t="s">
        <v>23</v>
      </c>
      <c r="K68" s="30" t="s">
        <v>23</v>
      </c>
      <c r="L68" s="7" t="str">
        <f>"{properties=0x02, handle=0x"&amp;TEXT(B69,"0000")&amp;", UUID=0x"&amp;TEXT(C69,"0000")&amp;"}"</f>
        <v>{properties=0x02, handle=0x00A4, UUID=0xB00C}</v>
      </c>
      <c r="M68" s="7"/>
    </row>
    <row r="69" spans="1:13" x14ac:dyDescent="0.2">
      <c r="A69" s="26">
        <f>A68+1</f>
        <v>164</v>
      </c>
      <c r="B69" s="1" t="str">
        <f t="shared" si="12"/>
        <v>00A4</v>
      </c>
      <c r="C69" s="13" t="str">
        <f>UUIDLOOKUP(G69,'UUID Table'!$C$10:$C$201,'UUID Table'!$D$10:$D$201)</f>
        <v>B00C</v>
      </c>
      <c r="D69" s="13" t="str">
        <f>UUIDLOOKUP(G69,'UUID Table'!$C$10:$C$201,'UUID Table'!$E$10:$E$201)</f>
        <v>0000B00C00001000800000805F9B34FB</v>
      </c>
      <c r="G69" s="42" t="s">
        <v>402</v>
      </c>
      <c r="H69" s="1" t="s">
        <v>22</v>
      </c>
      <c r="I69" s="1" t="s">
        <v>23</v>
      </c>
      <c r="J69" s="1" t="s">
        <v>23</v>
      </c>
      <c r="K69" s="1" t="s">
        <v>23</v>
      </c>
      <c r="L69" s="69" t="s">
        <v>430</v>
      </c>
    </row>
    <row r="70" spans="1:13" x14ac:dyDescent="0.2">
      <c r="A70" s="40">
        <v>65533</v>
      </c>
      <c r="B70" s="8" t="str">
        <f t="shared" si="12"/>
        <v>FFFD</v>
      </c>
      <c r="C70" s="8" t="str">
        <f>UUIDLOOKUP(E70,'UUID Table'!$C$10:$C$201,'UUID Table'!$D$10:$D$201)</f>
        <v>2800</v>
      </c>
      <c r="D70" s="8" t="str">
        <f>UUIDLOOKUP(E70,'UUID Table'!$C$10:$C$201,'UUID Table'!$E$10:$E$201)</f>
        <v>0000280000001000800000805F9B34FB</v>
      </c>
      <c r="E70" s="67" t="s">
        <v>376</v>
      </c>
      <c r="F70" s="8"/>
      <c r="G70" s="8"/>
      <c r="H70" s="8" t="s">
        <v>22</v>
      </c>
      <c r="I70" s="8" t="s">
        <v>23</v>
      </c>
      <c r="J70" s="8" t="s">
        <v>23</v>
      </c>
      <c r="K70" s="8" t="s">
        <v>23</v>
      </c>
      <c r="L70" s="10" t="str">
        <f>"{Service=0x"&amp;TEXT('UUID Table'!$D$163,"0000")&amp;" (""Service E"")}"</f>
        <v>{Service=0xA00E ("Service E")}</v>
      </c>
      <c r="M70" s="10"/>
    </row>
    <row r="71" spans="1:13" x14ac:dyDescent="0.2">
      <c r="A71" s="35">
        <f>A70+1</f>
        <v>65534</v>
      </c>
      <c r="B71" s="5" t="str">
        <f t="shared" si="12"/>
        <v>FFFE</v>
      </c>
      <c r="C71" s="5" t="str">
        <f>UUIDLOOKUP(F71,'UUID Table'!$C$10:$C$201,'UUID Table'!$D$10:$D$201)</f>
        <v>2803</v>
      </c>
      <c r="D71" s="5" t="str">
        <f>UUIDLOOKUP(F71,'UUID Table'!$C$10:$C$201,'UUID Table'!$E$10:$E$201)</f>
        <v>0000280300001000800000805F9B34FB</v>
      </c>
      <c r="E71" s="6" t="s">
        <v>1</v>
      </c>
      <c r="F71" s="6" t="s">
        <v>32</v>
      </c>
      <c r="G71" s="6"/>
      <c r="H71" s="30" t="s">
        <v>22</v>
      </c>
      <c r="I71" s="30" t="s">
        <v>23</v>
      </c>
      <c r="J71" s="30" t="s">
        <v>23</v>
      </c>
      <c r="K71" s="30" t="s">
        <v>23</v>
      </c>
      <c r="L71" s="7" t="str">
        <f>"{properties=0x02, handle=0x"&amp;TEXT(B72,"0000")&amp;", UUID=0x"&amp;TEXT(C72,"0000")&amp;"}"</f>
        <v>{properties=0x02, handle=0xFFFF, UUID=0xB00D}</v>
      </c>
      <c r="M71" s="75"/>
    </row>
    <row r="72" spans="1:13" x14ac:dyDescent="0.2">
      <c r="A72" s="26">
        <f>A71+1</f>
        <v>65535</v>
      </c>
      <c r="B72" s="1" t="str">
        <f t="shared" si="12"/>
        <v>FFFF</v>
      </c>
      <c r="C72" s="13" t="str">
        <f>UUIDLOOKUP(G72,'UUID Table'!$C$10:$C$201,'UUID Table'!$D$10:$D$201)</f>
        <v>B00D</v>
      </c>
      <c r="D72" s="13" t="str">
        <f>UUIDLOOKUP(G72,'UUID Table'!$C$10:$C$201,'UUID Table'!$E$10:$E$201)</f>
        <v>0000B00D00001000800000805F9B34FB</v>
      </c>
      <c r="G72" s="42" t="s">
        <v>400</v>
      </c>
      <c r="H72" s="1" t="s">
        <v>22</v>
      </c>
      <c r="I72" s="1" t="s">
        <v>23</v>
      </c>
      <c r="J72" s="1" t="s">
        <v>23</v>
      </c>
      <c r="K72" s="1" t="s">
        <v>23</v>
      </c>
      <c r="L72" s="69" t="s">
        <v>432</v>
      </c>
    </row>
    <row r="73" spans="1:13" x14ac:dyDescent="0.2">
      <c r="A73" s="26"/>
      <c r="B73" s="13"/>
      <c r="C73" s="13"/>
      <c r="D73" s="13"/>
      <c r="L73" s="65"/>
      <c r="M73" s="68"/>
    </row>
    <row r="74" spans="1:13" x14ac:dyDescent="0.2">
      <c r="H74" s="27" t="s">
        <v>22</v>
      </c>
      <c r="I74" s="76" t="s">
        <v>449</v>
      </c>
      <c r="J74" s="76"/>
    </row>
    <row r="75" spans="1:13" x14ac:dyDescent="0.2">
      <c r="H75" s="27" t="s">
        <v>23</v>
      </c>
      <c r="I75" s="41" t="s">
        <v>28</v>
      </c>
      <c r="J75" s="41"/>
    </row>
    <row r="76" spans="1:13" x14ac:dyDescent="0.2">
      <c r="I76" s="41"/>
      <c r="J76" s="41"/>
    </row>
    <row r="77" spans="1:13" x14ac:dyDescent="0.2">
      <c r="I77" s="41"/>
      <c r="J77" s="41"/>
    </row>
    <row r="79" spans="1:13" x14ac:dyDescent="0.2">
      <c r="C79" s="3" t="s">
        <v>366</v>
      </c>
      <c r="G79" s="59" t="s">
        <v>365</v>
      </c>
      <c r="H79" s="60">
        <f t="array" ref="H79">ROWS(A5:A72)-COUNTBLANK(A5:A72)-SUM(IF(FREQUENCY(IF(LEN(A5:A72)&gt;0,MATCH(A5:A72,A5:A72,0),""), IF(LEN(A5:A72)&gt;0,MATCH(A5:A72,A5:A72,0),""))&gt;0,1))</f>
        <v>0</v>
      </c>
      <c r="I79" s="15"/>
      <c r="J79" s="15"/>
      <c r="K79" s="3"/>
    </row>
    <row r="80" spans="1:13" x14ac:dyDescent="0.2">
      <c r="B80"/>
      <c r="C80"/>
      <c r="D80"/>
      <c r="E80" s="15"/>
    </row>
    <row r="81" spans="2:11" x14ac:dyDescent="0.2">
      <c r="B81"/>
    </row>
    <row r="82" spans="2:11" x14ac:dyDescent="0.2">
      <c r="B82"/>
      <c r="C82"/>
      <c r="D82"/>
      <c r="E82" s="15"/>
    </row>
    <row r="83" spans="2:11" x14ac:dyDescent="0.2">
      <c r="B83"/>
      <c r="C83"/>
      <c r="D83" s="15"/>
      <c r="E83" s="15"/>
      <c r="H83" s="3"/>
      <c r="I83" s="3"/>
      <c r="J83" s="3"/>
      <c r="K83" s="3"/>
    </row>
  </sheetData>
  <conditionalFormatting sqref="G79:H79">
    <cfRule type="expression" dxfId="2" priority="1" stopIfTrue="1">
      <formula>$H$79&gt;0</formula>
    </cfRule>
  </conditionalFormatting>
  <pageMargins left="0.75" right="0.75" top="1" bottom="1" header="0.5" footer="0.5"/>
  <pageSetup paperSize="9" orientation="portrait"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G252"/>
  <sheetViews>
    <sheetView topLeftCell="A6" workbookViewId="0">
      <selection activeCell="C16" sqref="C16"/>
    </sheetView>
  </sheetViews>
  <sheetFormatPr defaultRowHeight="12.75" x14ac:dyDescent="0.2"/>
  <cols>
    <col min="1" max="1" width="6" customWidth="1"/>
    <col min="2" max="2" width="21.28515625" customWidth="1"/>
    <col min="3" max="3" width="41" customWidth="1"/>
    <col min="4" max="4" width="12" style="15" customWidth="1"/>
    <col min="5" max="5" width="37" style="15" customWidth="1"/>
    <col min="6" max="6" width="7.140625" customWidth="1"/>
    <col min="7" max="7" width="36.7109375" customWidth="1"/>
  </cols>
  <sheetData>
    <row r="2" spans="1:7" x14ac:dyDescent="0.2">
      <c r="A2" s="17" t="s">
        <v>12</v>
      </c>
      <c r="B2" s="24"/>
      <c r="C2" s="24"/>
      <c r="D2" s="25"/>
      <c r="E2" s="25"/>
      <c r="F2" s="25"/>
      <c r="G2" s="25"/>
    </row>
    <row r="3" spans="1:7" x14ac:dyDescent="0.2">
      <c r="B3" t="s">
        <v>16</v>
      </c>
      <c r="C3" s="14" t="s">
        <v>14</v>
      </c>
      <c r="F3" s="15"/>
    </row>
    <row r="4" spans="1:7" x14ac:dyDescent="0.2">
      <c r="B4" t="s">
        <v>17</v>
      </c>
      <c r="C4" t="s">
        <v>13</v>
      </c>
      <c r="F4" s="15"/>
    </row>
    <row r="5" spans="1:7" x14ac:dyDescent="0.2">
      <c r="B5" t="s">
        <v>15</v>
      </c>
      <c r="C5" t="str">
        <f>$C$3&amp;"xxxx"&amp;$C$4</f>
        <v>0000xxxx00001000800000805F9B34FB</v>
      </c>
      <c r="F5" s="15"/>
    </row>
    <row r="6" spans="1:7" x14ac:dyDescent="0.2">
      <c r="F6" s="15"/>
    </row>
    <row r="7" spans="1:7" x14ac:dyDescent="0.2">
      <c r="A7" s="16"/>
      <c r="B7" s="17" t="s">
        <v>11</v>
      </c>
      <c r="C7" s="17" t="s">
        <v>74</v>
      </c>
      <c r="D7" s="18" t="s">
        <v>8</v>
      </c>
      <c r="E7" s="18" t="s">
        <v>9</v>
      </c>
      <c r="F7" s="18" t="s">
        <v>33</v>
      </c>
      <c r="G7" s="18"/>
    </row>
    <row r="8" spans="1:7" x14ac:dyDescent="0.2">
      <c r="A8" s="16"/>
      <c r="B8" s="17"/>
      <c r="C8" s="17"/>
      <c r="D8" s="18"/>
      <c r="E8" s="18"/>
      <c r="F8" s="18"/>
      <c r="G8" s="18"/>
    </row>
    <row r="9" spans="1:7" x14ac:dyDescent="0.2">
      <c r="A9" s="19"/>
      <c r="B9" s="19" t="s">
        <v>10</v>
      </c>
      <c r="C9" s="20"/>
      <c r="D9" s="21"/>
      <c r="E9" s="21"/>
      <c r="F9" s="21"/>
      <c r="G9" s="21"/>
    </row>
    <row r="10" spans="1:7" x14ac:dyDescent="0.2">
      <c r="C10" s="66" t="s">
        <v>376</v>
      </c>
      <c r="D10" s="15">
        <v>2800</v>
      </c>
      <c r="E10" s="15" t="str">
        <f t="shared" ref="E10:E19" si="0">$C$3&amp;D10&amp;$C$4</f>
        <v>0000280000001000800000805F9B34FB</v>
      </c>
      <c r="G10" s="15"/>
    </row>
    <row r="11" spans="1:7" x14ac:dyDescent="0.2">
      <c r="C11" s="66" t="s">
        <v>377</v>
      </c>
      <c r="D11" s="15">
        <v>2801</v>
      </c>
      <c r="E11" s="15" t="str">
        <f>$C$3&amp;D11&amp;$C$4</f>
        <v>0000280100001000800000805F9B34FB</v>
      </c>
      <c r="G11" s="15"/>
    </row>
    <row r="12" spans="1:7" x14ac:dyDescent="0.2">
      <c r="C12" t="s">
        <v>348</v>
      </c>
      <c r="D12" s="15">
        <v>2802</v>
      </c>
      <c r="E12" s="15" t="str">
        <f t="shared" si="0"/>
        <v>0000280200001000800000805F9B34FB</v>
      </c>
      <c r="G12" s="15"/>
    </row>
    <row r="13" spans="1:7" x14ac:dyDescent="0.2">
      <c r="C13" s="23" t="s">
        <v>32</v>
      </c>
      <c r="D13" s="15">
        <v>2803</v>
      </c>
      <c r="E13" s="15" t="str">
        <f t="shared" si="0"/>
        <v>0000280300001000800000805F9B34FB</v>
      </c>
      <c r="G13" s="15"/>
    </row>
    <row r="14" spans="1:7" x14ac:dyDescent="0.2">
      <c r="C14" s="23" t="s">
        <v>349</v>
      </c>
      <c r="D14" s="15">
        <v>2900</v>
      </c>
      <c r="E14" s="15" t="str">
        <f t="shared" si="0"/>
        <v>0000290000001000800000805F9B34FB</v>
      </c>
      <c r="G14" s="15"/>
    </row>
    <row r="15" spans="1:7" x14ac:dyDescent="0.2">
      <c r="C15" t="s">
        <v>4</v>
      </c>
      <c r="D15" s="15">
        <v>2901</v>
      </c>
      <c r="E15" s="15" t="str">
        <f t="shared" si="0"/>
        <v>0000290100001000800000805F9B34FB</v>
      </c>
      <c r="G15" s="15"/>
    </row>
    <row r="16" spans="1:7" x14ac:dyDescent="0.2">
      <c r="C16" t="s">
        <v>363</v>
      </c>
      <c r="D16" s="15">
        <v>2902</v>
      </c>
      <c r="E16" s="15" t="str">
        <f t="shared" si="0"/>
        <v>0000290200001000800000805F9B34FB</v>
      </c>
      <c r="F16" s="15"/>
    </row>
    <row r="17" spans="1:7" x14ac:dyDescent="0.2">
      <c r="C17" t="s">
        <v>362</v>
      </c>
      <c r="D17" s="15">
        <v>2903</v>
      </c>
      <c r="E17" s="15" t="str">
        <f t="shared" si="0"/>
        <v>0000290300001000800000805F9B34FB</v>
      </c>
      <c r="F17" s="15"/>
    </row>
    <row r="18" spans="1:7" x14ac:dyDescent="0.2">
      <c r="C18" s="3" t="s">
        <v>3</v>
      </c>
      <c r="D18" s="15">
        <v>2904</v>
      </c>
      <c r="E18" s="15" t="str">
        <f t="shared" si="0"/>
        <v>0000290400001000800000805F9B34FB</v>
      </c>
      <c r="F18" s="15"/>
    </row>
    <row r="19" spans="1:7" x14ac:dyDescent="0.2">
      <c r="C19" s="4" t="s">
        <v>5</v>
      </c>
      <c r="D19" s="15">
        <v>2905</v>
      </c>
      <c r="E19" s="15" t="str">
        <f t="shared" si="0"/>
        <v>0000290500001000800000805F9B34FB</v>
      </c>
      <c r="F19" s="15"/>
    </row>
    <row r="20" spans="1:7" x14ac:dyDescent="0.2">
      <c r="A20" s="19"/>
      <c r="B20" s="19" t="s">
        <v>3</v>
      </c>
      <c r="C20" s="19"/>
      <c r="D20" s="22"/>
      <c r="E20" s="22"/>
      <c r="F20" s="22"/>
      <c r="G20" s="22"/>
    </row>
    <row r="21" spans="1:7" x14ac:dyDescent="0.2">
      <c r="C21" s="4" t="s">
        <v>34</v>
      </c>
      <c r="D21" s="15">
        <v>3100</v>
      </c>
      <c r="E21" s="15" t="str">
        <f t="shared" ref="E21:E39" si="1">$C$3&amp;D21&amp;$C$4</f>
        <v>0000310000001000800000805F9B34FB</v>
      </c>
      <c r="F21" s="45" t="s">
        <v>53</v>
      </c>
    </row>
    <row r="22" spans="1:7" x14ac:dyDescent="0.2">
      <c r="C22" s="4" t="s">
        <v>35</v>
      </c>
      <c r="D22" s="15">
        <v>3101</v>
      </c>
      <c r="E22" s="15" t="str">
        <f t="shared" si="1"/>
        <v>0000310100001000800000805F9B34FB</v>
      </c>
      <c r="F22" s="45" t="s">
        <v>54</v>
      </c>
    </row>
    <row r="23" spans="1:7" x14ac:dyDescent="0.2">
      <c r="C23" t="s">
        <v>36</v>
      </c>
      <c r="D23" s="15">
        <v>3102</v>
      </c>
      <c r="E23" s="15" t="str">
        <f t="shared" si="1"/>
        <v>0000310200001000800000805F9B34FB</v>
      </c>
      <c r="F23" s="45" t="s">
        <v>55</v>
      </c>
    </row>
    <row r="24" spans="1:7" x14ac:dyDescent="0.2">
      <c r="C24" s="4" t="s">
        <v>37</v>
      </c>
      <c r="D24" s="15">
        <v>3103</v>
      </c>
      <c r="E24" s="15" t="str">
        <f t="shared" si="1"/>
        <v>0000310300001000800000805F9B34FB</v>
      </c>
      <c r="F24" s="45" t="s">
        <v>55</v>
      </c>
    </row>
    <row r="25" spans="1:7" x14ac:dyDescent="0.2">
      <c r="C25" s="4" t="s">
        <v>38</v>
      </c>
      <c r="D25" s="44">
        <v>3104</v>
      </c>
      <c r="E25" s="15" t="str">
        <f t="shared" si="1"/>
        <v>0000310400001000800000805F9B34FB</v>
      </c>
      <c r="F25" s="45" t="s">
        <v>56</v>
      </c>
    </row>
    <row r="26" spans="1:7" x14ac:dyDescent="0.2">
      <c r="C26" s="4" t="s">
        <v>39</v>
      </c>
      <c r="D26" s="15">
        <v>3105</v>
      </c>
      <c r="E26" s="15" t="str">
        <f t="shared" si="1"/>
        <v>0000310500001000800000805F9B34FB</v>
      </c>
      <c r="F26" s="45" t="s">
        <v>57</v>
      </c>
    </row>
    <row r="27" spans="1:7" x14ac:dyDescent="0.2">
      <c r="C27" s="4" t="s">
        <v>40</v>
      </c>
      <c r="D27" s="15">
        <v>3106</v>
      </c>
      <c r="E27" s="15" t="str">
        <f t="shared" si="1"/>
        <v>0000310600001000800000805F9B34FB</v>
      </c>
      <c r="F27" s="45" t="s">
        <v>56</v>
      </c>
    </row>
    <row r="28" spans="1:7" x14ac:dyDescent="0.2">
      <c r="C28" t="s">
        <v>41</v>
      </c>
      <c r="D28" s="15">
        <v>3107</v>
      </c>
      <c r="E28" s="15" t="str">
        <f t="shared" si="1"/>
        <v>0000310700001000800000805F9B34FB</v>
      </c>
      <c r="F28" s="45" t="s">
        <v>58</v>
      </c>
    </row>
    <row r="29" spans="1:7" x14ac:dyDescent="0.2">
      <c r="C29" s="4" t="s">
        <v>42</v>
      </c>
      <c r="D29" s="15">
        <v>3108</v>
      </c>
      <c r="E29" s="15" t="str">
        <f t="shared" si="1"/>
        <v>0000310800001000800000805F9B34FB</v>
      </c>
      <c r="F29" s="45" t="s">
        <v>59</v>
      </c>
    </row>
    <row r="30" spans="1:7" x14ac:dyDescent="0.2">
      <c r="C30" s="4" t="s">
        <v>43</v>
      </c>
      <c r="D30" s="44">
        <v>3109</v>
      </c>
      <c r="E30" s="15" t="str">
        <f t="shared" si="1"/>
        <v>0000310900001000800000805F9B34FB</v>
      </c>
      <c r="F30" s="45" t="s">
        <v>60</v>
      </c>
    </row>
    <row r="31" spans="1:7" x14ac:dyDescent="0.2">
      <c r="C31" s="4" t="s">
        <v>44</v>
      </c>
      <c r="D31" s="15" t="s">
        <v>68</v>
      </c>
      <c r="E31" s="15" t="str">
        <f t="shared" si="1"/>
        <v>0000310A00001000800000805F9B34FB</v>
      </c>
      <c r="F31" s="45" t="s">
        <v>61</v>
      </c>
    </row>
    <row r="32" spans="1:7" x14ac:dyDescent="0.2">
      <c r="C32" s="4" t="s">
        <v>45</v>
      </c>
      <c r="D32" s="15" t="s">
        <v>69</v>
      </c>
      <c r="E32" s="15" t="str">
        <f t="shared" si="1"/>
        <v>0000310B00001000800000805F9B34FB</v>
      </c>
      <c r="F32" s="45" t="s">
        <v>62</v>
      </c>
    </row>
    <row r="33" spans="1:7" x14ac:dyDescent="0.2">
      <c r="C33" t="s">
        <v>46</v>
      </c>
      <c r="D33" s="15" t="s">
        <v>70</v>
      </c>
      <c r="E33" s="15" t="str">
        <f t="shared" si="1"/>
        <v>0000310C00001000800000805F9B34FB</v>
      </c>
      <c r="F33" s="45" t="s">
        <v>63</v>
      </c>
    </row>
    <row r="34" spans="1:7" x14ac:dyDescent="0.2">
      <c r="C34" s="4" t="s">
        <v>47</v>
      </c>
      <c r="D34" s="15" t="s">
        <v>71</v>
      </c>
      <c r="E34" s="15" t="str">
        <f t="shared" si="1"/>
        <v>0000310D00001000800000805F9B34FB</v>
      </c>
      <c r="F34" s="45" t="s">
        <v>64</v>
      </c>
    </row>
    <row r="35" spans="1:7" x14ac:dyDescent="0.2">
      <c r="C35" s="4" t="s">
        <v>48</v>
      </c>
      <c r="D35" s="44" t="s">
        <v>72</v>
      </c>
      <c r="E35" s="15" t="str">
        <f t="shared" si="1"/>
        <v>0000310E00001000800000805F9B34FB</v>
      </c>
      <c r="F35" s="45" t="s">
        <v>65</v>
      </c>
    </row>
    <row r="36" spans="1:7" x14ac:dyDescent="0.2">
      <c r="C36" s="4" t="s">
        <v>49</v>
      </c>
      <c r="D36" s="15" t="s">
        <v>73</v>
      </c>
      <c r="E36" s="15" t="str">
        <f t="shared" si="1"/>
        <v>0000310F00001000800000805F9B34FB</v>
      </c>
      <c r="F36" s="45" t="s">
        <v>65</v>
      </c>
    </row>
    <row r="37" spans="1:7" x14ac:dyDescent="0.2">
      <c r="C37" s="4" t="s">
        <v>50</v>
      </c>
      <c r="D37" s="15">
        <v>3110</v>
      </c>
      <c r="E37" s="15" t="str">
        <f t="shared" si="1"/>
        <v>0000311000001000800000805F9B34FB</v>
      </c>
      <c r="F37" s="45" t="s">
        <v>66</v>
      </c>
    </row>
    <row r="38" spans="1:7" x14ac:dyDescent="0.2">
      <c r="C38" t="s">
        <v>51</v>
      </c>
      <c r="D38" s="15">
        <v>3111</v>
      </c>
      <c r="E38" s="15" t="str">
        <f t="shared" si="1"/>
        <v>0000311100001000800000805F9B34FB</v>
      </c>
      <c r="F38" s="45" t="s">
        <v>67</v>
      </c>
    </row>
    <row r="39" spans="1:7" x14ac:dyDescent="0.2">
      <c r="C39" s="4" t="s">
        <v>52</v>
      </c>
      <c r="D39" s="15">
        <v>3112</v>
      </c>
      <c r="E39" s="15" t="str">
        <f t="shared" si="1"/>
        <v>0000311200001000800000805F9B34FB</v>
      </c>
      <c r="F39" s="45" t="s">
        <v>67</v>
      </c>
    </row>
    <row r="40" spans="1:7" x14ac:dyDescent="0.2">
      <c r="A40" s="19"/>
      <c r="B40" s="19" t="s">
        <v>75</v>
      </c>
      <c r="C40" s="19"/>
      <c r="D40" s="22"/>
      <c r="E40" s="22"/>
      <c r="F40" s="22"/>
      <c r="G40" s="22"/>
    </row>
    <row r="41" spans="1:7" ht="15" x14ac:dyDescent="0.2">
      <c r="C41" s="4" t="s">
        <v>76</v>
      </c>
      <c r="D41" s="61">
        <v>3000</v>
      </c>
      <c r="E41" s="61" t="str">
        <f t="shared" ref="E41:E72" si="2">$C$3&amp;D41&amp;$C$4</f>
        <v>0000300000001000800000805F9B34FB</v>
      </c>
      <c r="F41" s="46"/>
      <c r="G41" s="46"/>
    </row>
    <row r="42" spans="1:7" ht="15" x14ac:dyDescent="0.2">
      <c r="C42" s="4" t="s">
        <v>77</v>
      </c>
      <c r="D42" s="61">
        <v>3001</v>
      </c>
      <c r="E42" s="61" t="str">
        <f t="shared" si="2"/>
        <v>0000300100001000800000805F9B34FB</v>
      </c>
      <c r="F42" s="46" t="s">
        <v>164</v>
      </c>
      <c r="G42" s="46" t="s">
        <v>164</v>
      </c>
    </row>
    <row r="43" spans="1:7" ht="15" x14ac:dyDescent="0.2">
      <c r="C43" s="26" t="s">
        <v>78</v>
      </c>
      <c r="D43" s="61">
        <v>3002</v>
      </c>
      <c r="E43" s="61" t="str">
        <f t="shared" si="2"/>
        <v>0000300200001000800000805F9B34FB</v>
      </c>
      <c r="F43" s="46" t="s">
        <v>165</v>
      </c>
      <c r="G43" s="46" t="s">
        <v>165</v>
      </c>
    </row>
    <row r="44" spans="1:7" ht="15" x14ac:dyDescent="0.2">
      <c r="C44" s="4" t="s">
        <v>79</v>
      </c>
      <c r="D44" s="61">
        <v>3003</v>
      </c>
      <c r="E44" s="61" t="str">
        <f t="shared" si="2"/>
        <v>0000300300001000800000805F9B34FB</v>
      </c>
      <c r="F44" s="47" t="s">
        <v>166</v>
      </c>
      <c r="G44" s="46" t="s">
        <v>166</v>
      </c>
    </row>
    <row r="45" spans="1:7" ht="15" x14ac:dyDescent="0.2">
      <c r="C45" s="4" t="s">
        <v>80</v>
      </c>
      <c r="D45" s="62">
        <v>3004</v>
      </c>
      <c r="E45" s="61" t="str">
        <f t="shared" si="2"/>
        <v>0000300400001000800000805F9B34FB</v>
      </c>
      <c r="F45" s="47" t="s">
        <v>24</v>
      </c>
      <c r="G45" s="46" t="s">
        <v>24</v>
      </c>
    </row>
    <row r="46" spans="1:7" ht="15" x14ac:dyDescent="0.2">
      <c r="C46" s="4" t="s">
        <v>81</v>
      </c>
      <c r="D46" s="61">
        <v>3005</v>
      </c>
      <c r="E46" s="61" t="str">
        <f t="shared" si="2"/>
        <v>0000300500001000800000805F9B34FB</v>
      </c>
      <c r="F46" s="47" t="s">
        <v>167</v>
      </c>
      <c r="G46" s="46" t="s">
        <v>167</v>
      </c>
    </row>
    <row r="47" spans="1:7" ht="15" x14ac:dyDescent="0.2">
      <c r="C47" s="4" t="s">
        <v>82</v>
      </c>
      <c r="D47" s="61">
        <v>3006</v>
      </c>
      <c r="E47" s="61" t="str">
        <f t="shared" si="2"/>
        <v>0000300600001000800000805F9B34FB</v>
      </c>
      <c r="F47" s="47" t="s">
        <v>168</v>
      </c>
      <c r="G47" s="46" t="s">
        <v>168</v>
      </c>
    </row>
    <row r="48" spans="1:7" ht="15" x14ac:dyDescent="0.2">
      <c r="C48" s="26" t="s">
        <v>83</v>
      </c>
      <c r="D48" s="61">
        <v>3007</v>
      </c>
      <c r="E48" s="61" t="str">
        <f t="shared" si="2"/>
        <v>0000300700001000800000805F9B34FB</v>
      </c>
      <c r="F48" s="47" t="s">
        <v>169</v>
      </c>
      <c r="G48" s="46" t="s">
        <v>169</v>
      </c>
    </row>
    <row r="49" spans="3:7" ht="17.25" x14ac:dyDescent="0.2">
      <c r="C49" s="4" t="s">
        <v>84</v>
      </c>
      <c r="D49" s="61">
        <v>3008</v>
      </c>
      <c r="E49" s="61" t="str">
        <f t="shared" si="2"/>
        <v>0000300800001000800000805F9B34FB</v>
      </c>
      <c r="F49" s="48" t="s">
        <v>170</v>
      </c>
      <c r="G49" s="46" t="s">
        <v>242</v>
      </c>
    </row>
    <row r="50" spans="3:7" ht="17.25" x14ac:dyDescent="0.2">
      <c r="C50" s="4" t="s">
        <v>85</v>
      </c>
      <c r="D50" s="62">
        <v>3009</v>
      </c>
      <c r="E50" s="61" t="str">
        <f t="shared" si="2"/>
        <v>0000300900001000800000805F9B34FB</v>
      </c>
      <c r="F50" s="48" t="s">
        <v>171</v>
      </c>
      <c r="G50" s="46" t="s">
        <v>243</v>
      </c>
    </row>
    <row r="51" spans="3:7" ht="17.25" x14ac:dyDescent="0.2">
      <c r="C51" s="4" t="s">
        <v>86</v>
      </c>
      <c r="D51" s="61" t="s">
        <v>318</v>
      </c>
      <c r="E51" s="61" t="str">
        <f t="shared" si="2"/>
        <v>0000300A00001000800000805F9B34FB</v>
      </c>
      <c r="F51" s="49" t="s">
        <v>172</v>
      </c>
      <c r="G51" s="46" t="s">
        <v>244</v>
      </c>
    </row>
    <row r="52" spans="3:7" ht="17.25" x14ac:dyDescent="0.2">
      <c r="C52" s="4" t="s">
        <v>87</v>
      </c>
      <c r="D52" s="61" t="s">
        <v>319</v>
      </c>
      <c r="E52" s="61" t="str">
        <f t="shared" si="2"/>
        <v>0000300B00001000800000805F9B34FB</v>
      </c>
      <c r="F52" s="49" t="s">
        <v>23</v>
      </c>
      <c r="G52" s="46" t="s">
        <v>245</v>
      </c>
    </row>
    <row r="53" spans="3:7" ht="17.25" x14ac:dyDescent="0.2">
      <c r="C53" s="26" t="s">
        <v>88</v>
      </c>
      <c r="D53" s="61" t="s">
        <v>320</v>
      </c>
      <c r="E53" s="61" t="str">
        <f t="shared" si="2"/>
        <v>0000300C00001000800000805F9B34FB</v>
      </c>
      <c r="F53" s="49" t="s">
        <v>173</v>
      </c>
      <c r="G53" s="46" t="s">
        <v>246</v>
      </c>
    </row>
    <row r="54" spans="3:7" ht="17.25" x14ac:dyDescent="0.2">
      <c r="C54" s="4" t="s">
        <v>89</v>
      </c>
      <c r="D54" s="61" t="s">
        <v>321</v>
      </c>
      <c r="E54" s="61" t="str">
        <f t="shared" si="2"/>
        <v>0000300D00001000800000805F9B34FB</v>
      </c>
      <c r="F54" s="49" t="s">
        <v>174</v>
      </c>
      <c r="G54" s="46" t="s">
        <v>247</v>
      </c>
    </row>
    <row r="55" spans="3:7" ht="17.25" x14ac:dyDescent="0.2">
      <c r="C55" s="4" t="s">
        <v>90</v>
      </c>
      <c r="D55" s="62" t="s">
        <v>322</v>
      </c>
      <c r="E55" s="61" t="str">
        <f t="shared" si="2"/>
        <v>0000300E00001000800000805F9B34FB</v>
      </c>
      <c r="F55" s="49" t="s">
        <v>175</v>
      </c>
      <c r="G55" s="46" t="s">
        <v>248</v>
      </c>
    </row>
    <row r="56" spans="3:7" ht="15" x14ac:dyDescent="0.2">
      <c r="C56" s="4" t="s">
        <v>91</v>
      </c>
      <c r="D56" s="61" t="s">
        <v>323</v>
      </c>
      <c r="E56" s="61" t="str">
        <f t="shared" si="2"/>
        <v>0000300F00001000800000805F9B34FB</v>
      </c>
      <c r="F56" s="49" t="s">
        <v>176</v>
      </c>
      <c r="G56" s="46" t="s">
        <v>249</v>
      </c>
    </row>
    <row r="57" spans="3:7" ht="17.25" x14ac:dyDescent="0.2">
      <c r="C57" s="4" t="s">
        <v>92</v>
      </c>
      <c r="D57" s="61">
        <v>3010</v>
      </c>
      <c r="E57" s="61" t="str">
        <f t="shared" si="2"/>
        <v>0000301000001000800000805F9B34FB</v>
      </c>
      <c r="F57" s="49" t="s">
        <v>30</v>
      </c>
      <c r="G57" s="46" t="s">
        <v>250</v>
      </c>
    </row>
    <row r="58" spans="3:7" ht="17.25" x14ac:dyDescent="0.2">
      <c r="C58" s="26" t="s">
        <v>93</v>
      </c>
      <c r="D58" s="61">
        <v>3011</v>
      </c>
      <c r="E58" s="61" t="str">
        <f t="shared" si="2"/>
        <v>0000301100001000800000805F9B34FB</v>
      </c>
      <c r="F58" s="49" t="s">
        <v>177</v>
      </c>
      <c r="G58" s="46" t="s">
        <v>251</v>
      </c>
    </row>
    <row r="59" spans="3:7" ht="17.25" x14ac:dyDescent="0.2">
      <c r="C59" s="4" t="s">
        <v>94</v>
      </c>
      <c r="D59" s="61">
        <v>3012</v>
      </c>
      <c r="E59" s="61" t="str">
        <f t="shared" si="2"/>
        <v>0000301200001000800000805F9B34FB</v>
      </c>
      <c r="F59" s="49" t="s">
        <v>178</v>
      </c>
      <c r="G59" s="46" t="s">
        <v>252</v>
      </c>
    </row>
    <row r="60" spans="3:7" ht="17.25" x14ac:dyDescent="0.2">
      <c r="C60" s="4" t="s">
        <v>95</v>
      </c>
      <c r="D60" s="61">
        <v>3013</v>
      </c>
      <c r="E60" s="61" t="str">
        <f t="shared" si="2"/>
        <v>0000301300001000800000805F9B34FB</v>
      </c>
      <c r="F60" s="49" t="s">
        <v>179</v>
      </c>
      <c r="G60" s="46" t="s">
        <v>253</v>
      </c>
    </row>
    <row r="61" spans="3:7" ht="17.25" x14ac:dyDescent="0.2">
      <c r="C61" s="4" t="s">
        <v>96</v>
      </c>
      <c r="D61" s="61">
        <v>3014</v>
      </c>
      <c r="E61" s="61" t="str">
        <f t="shared" si="2"/>
        <v>0000301400001000800000805F9B34FB</v>
      </c>
      <c r="F61" s="49" t="s">
        <v>180</v>
      </c>
      <c r="G61" s="46" t="s">
        <v>254</v>
      </c>
    </row>
    <row r="62" spans="3:7" ht="17.25" x14ac:dyDescent="0.2">
      <c r="C62" s="26" t="s">
        <v>97</v>
      </c>
      <c r="D62" s="61">
        <v>3015</v>
      </c>
      <c r="E62" s="61" t="str">
        <f t="shared" si="2"/>
        <v>0000301500001000800000805F9B34FB</v>
      </c>
      <c r="F62" s="49" t="s">
        <v>181</v>
      </c>
      <c r="G62" s="46" t="s">
        <v>255</v>
      </c>
    </row>
    <row r="63" spans="3:7" ht="17.25" x14ac:dyDescent="0.2">
      <c r="C63" s="4" t="s">
        <v>98</v>
      </c>
      <c r="D63" s="61">
        <v>3016</v>
      </c>
      <c r="E63" s="61" t="str">
        <f t="shared" si="2"/>
        <v>0000301600001000800000805F9B34FB</v>
      </c>
      <c r="F63" s="49" t="s">
        <v>182</v>
      </c>
      <c r="G63" s="46" t="s">
        <v>256</v>
      </c>
    </row>
    <row r="64" spans="3:7" ht="17.25" x14ac:dyDescent="0.2">
      <c r="C64" s="4" t="s">
        <v>99</v>
      </c>
      <c r="D64" s="62">
        <v>3017</v>
      </c>
      <c r="E64" s="61" t="str">
        <f t="shared" si="2"/>
        <v>0000301700001000800000805F9B34FB</v>
      </c>
      <c r="F64" s="50" t="s">
        <v>234</v>
      </c>
      <c r="G64" s="52" t="s">
        <v>257</v>
      </c>
    </row>
    <row r="65" spans="3:7" ht="15" x14ac:dyDescent="0.2">
      <c r="C65" s="4" t="s">
        <v>100</v>
      </c>
      <c r="D65" s="61">
        <v>3018</v>
      </c>
      <c r="E65" s="61" t="str">
        <f t="shared" si="2"/>
        <v>0000301800001000800000805F9B34FB</v>
      </c>
      <c r="F65" s="49" t="s">
        <v>183</v>
      </c>
      <c r="G65" s="53" t="s">
        <v>258</v>
      </c>
    </row>
    <row r="66" spans="3:7" ht="17.25" x14ac:dyDescent="0.2">
      <c r="C66" s="4" t="s">
        <v>101</v>
      </c>
      <c r="D66" s="61">
        <v>3019</v>
      </c>
      <c r="E66" s="61" t="str">
        <f t="shared" si="2"/>
        <v>0000301900001000800000805F9B34FB</v>
      </c>
      <c r="F66" s="49" t="s">
        <v>184</v>
      </c>
      <c r="G66" s="53" t="s">
        <v>259</v>
      </c>
    </row>
    <row r="67" spans="3:7" ht="17.25" x14ac:dyDescent="0.2">
      <c r="C67" s="26" t="s">
        <v>102</v>
      </c>
      <c r="D67" s="61" t="s">
        <v>324</v>
      </c>
      <c r="E67" s="61" t="str">
        <f t="shared" si="2"/>
        <v>0000301A00001000800000805F9B34FB</v>
      </c>
      <c r="F67" s="49" t="s">
        <v>185</v>
      </c>
      <c r="G67" s="53" t="s">
        <v>244</v>
      </c>
    </row>
    <row r="68" spans="3:7" ht="17.25" x14ac:dyDescent="0.2">
      <c r="C68" s="4" t="s">
        <v>103</v>
      </c>
      <c r="D68" s="61" t="s">
        <v>325</v>
      </c>
      <c r="E68" s="61" t="str">
        <f t="shared" si="2"/>
        <v>0000301B00001000800000805F9B34FB</v>
      </c>
      <c r="F68" s="49" t="s">
        <v>186</v>
      </c>
      <c r="G68" s="53" t="s">
        <v>260</v>
      </c>
    </row>
    <row r="69" spans="3:7" ht="17.25" x14ac:dyDescent="0.2">
      <c r="C69" s="4" t="s">
        <v>104</v>
      </c>
      <c r="D69" s="61" t="s">
        <v>326</v>
      </c>
      <c r="E69" s="61" t="str">
        <f t="shared" si="2"/>
        <v>0000301C00001000800000805F9B34FB</v>
      </c>
      <c r="F69" s="49" t="s">
        <v>187</v>
      </c>
      <c r="G69" s="53" t="s">
        <v>260</v>
      </c>
    </row>
    <row r="70" spans="3:7" ht="17.25" x14ac:dyDescent="0.2">
      <c r="C70" s="26" t="s">
        <v>105</v>
      </c>
      <c r="D70" s="61" t="s">
        <v>327</v>
      </c>
      <c r="E70" s="61" t="str">
        <f t="shared" si="2"/>
        <v>0000301D00001000800000805F9B34FB</v>
      </c>
      <c r="F70" s="49" t="s">
        <v>188</v>
      </c>
      <c r="G70" s="53" t="s">
        <v>261</v>
      </c>
    </row>
    <row r="71" spans="3:7" ht="17.25" x14ac:dyDescent="0.2">
      <c r="C71" s="4" t="s">
        <v>106</v>
      </c>
      <c r="D71" s="61" t="s">
        <v>328</v>
      </c>
      <c r="E71" s="61" t="str">
        <f t="shared" si="2"/>
        <v>0000301E00001000800000805F9B34FB</v>
      </c>
      <c r="F71" s="49" t="s">
        <v>189</v>
      </c>
      <c r="G71" s="46" t="s">
        <v>262</v>
      </c>
    </row>
    <row r="72" spans="3:7" ht="15" x14ac:dyDescent="0.2">
      <c r="C72" s="4" t="s">
        <v>107</v>
      </c>
      <c r="D72" s="62" t="s">
        <v>329</v>
      </c>
      <c r="E72" s="61" t="str">
        <f t="shared" si="2"/>
        <v>0000301F00001000800000805F9B34FB</v>
      </c>
      <c r="F72" s="49" t="s">
        <v>182</v>
      </c>
      <c r="G72" s="46" t="s">
        <v>263</v>
      </c>
    </row>
    <row r="73" spans="3:7" ht="17.25" x14ac:dyDescent="0.2">
      <c r="C73" s="4" t="s">
        <v>108</v>
      </c>
      <c r="D73" s="61">
        <v>3020</v>
      </c>
      <c r="E73" s="61" t="str">
        <f t="shared" ref="E73:E104" si="3">$C$3&amp;D73&amp;$C$4</f>
        <v>0000302000001000800000805F9B34FB</v>
      </c>
      <c r="F73" s="49" t="s">
        <v>190</v>
      </c>
      <c r="G73" s="46" t="s">
        <v>264</v>
      </c>
    </row>
    <row r="74" spans="3:7" ht="18" x14ac:dyDescent="0.2">
      <c r="C74" s="4" t="s">
        <v>109</v>
      </c>
      <c r="D74" s="61">
        <v>3021</v>
      </c>
      <c r="E74" s="61" t="str">
        <f t="shared" si="3"/>
        <v>0000302100001000800000805F9B34FB</v>
      </c>
      <c r="F74" s="49" t="s">
        <v>235</v>
      </c>
      <c r="G74" s="46" t="s">
        <v>265</v>
      </c>
    </row>
    <row r="75" spans="3:7" ht="17.25" x14ac:dyDescent="0.2">
      <c r="C75" s="26" t="s">
        <v>110</v>
      </c>
      <c r="D75" s="61">
        <v>3022</v>
      </c>
      <c r="E75" s="61" t="str">
        <f t="shared" si="3"/>
        <v>0000302200001000800000805F9B34FB</v>
      </c>
      <c r="F75" s="47" t="s">
        <v>236</v>
      </c>
      <c r="G75" s="46" t="s">
        <v>266</v>
      </c>
    </row>
    <row r="76" spans="3:7" ht="17.25" x14ac:dyDescent="0.2">
      <c r="C76" s="4" t="s">
        <v>111</v>
      </c>
      <c r="D76" s="61">
        <v>3023</v>
      </c>
      <c r="E76" s="61" t="str">
        <f t="shared" si="3"/>
        <v>0000302300001000800000805F9B34FB</v>
      </c>
      <c r="F76" s="47" t="s">
        <v>237</v>
      </c>
      <c r="G76" s="46" t="s">
        <v>267</v>
      </c>
    </row>
    <row r="77" spans="3:7" ht="17.25" x14ac:dyDescent="0.2">
      <c r="C77" s="4" t="s">
        <v>112</v>
      </c>
      <c r="D77" s="62">
        <v>3024</v>
      </c>
      <c r="E77" s="61" t="str">
        <f t="shared" si="3"/>
        <v>0000302400001000800000805F9B34FB</v>
      </c>
      <c r="F77" s="47" t="s">
        <v>191</v>
      </c>
      <c r="G77" s="46" t="s">
        <v>268</v>
      </c>
    </row>
    <row r="78" spans="3:7" ht="17.25" x14ac:dyDescent="0.2">
      <c r="C78" s="4" t="s">
        <v>113</v>
      </c>
      <c r="D78" s="61">
        <v>3025</v>
      </c>
      <c r="E78" s="61" t="str">
        <f t="shared" si="3"/>
        <v>0000302500001000800000805F9B34FB</v>
      </c>
      <c r="F78" s="47" t="s">
        <v>192</v>
      </c>
      <c r="G78" s="46" t="s">
        <v>269</v>
      </c>
    </row>
    <row r="79" spans="3:7" ht="17.25" x14ac:dyDescent="0.2">
      <c r="C79" s="4" t="s">
        <v>114</v>
      </c>
      <c r="D79" s="61">
        <v>3026</v>
      </c>
      <c r="E79" s="61" t="str">
        <f t="shared" si="3"/>
        <v>0000302600001000800000805F9B34FB</v>
      </c>
      <c r="F79" s="47" t="s">
        <v>193</v>
      </c>
      <c r="G79" s="46" t="s">
        <v>270</v>
      </c>
    </row>
    <row r="80" spans="3:7" ht="17.25" x14ac:dyDescent="0.2">
      <c r="C80" s="26" t="s">
        <v>115</v>
      </c>
      <c r="D80" s="61">
        <v>3027</v>
      </c>
      <c r="E80" s="61" t="str">
        <f t="shared" si="3"/>
        <v>0000302700001000800000805F9B34FB</v>
      </c>
      <c r="F80" s="47" t="s">
        <v>238</v>
      </c>
      <c r="G80" s="46" t="s">
        <v>271</v>
      </c>
    </row>
    <row r="81" spans="3:7" ht="17.25" x14ac:dyDescent="0.2">
      <c r="C81" s="4" t="s">
        <v>116</v>
      </c>
      <c r="D81" s="61">
        <v>3028</v>
      </c>
      <c r="E81" s="61" t="str">
        <f t="shared" si="3"/>
        <v>0000302800001000800000805F9B34FB</v>
      </c>
      <c r="F81" s="48" t="s">
        <v>194</v>
      </c>
      <c r="G81" s="46" t="s">
        <v>272</v>
      </c>
    </row>
    <row r="82" spans="3:7" ht="17.25" x14ac:dyDescent="0.2">
      <c r="C82" s="4" t="s">
        <v>117</v>
      </c>
      <c r="D82" s="62">
        <v>3029</v>
      </c>
      <c r="E82" s="61" t="str">
        <f t="shared" si="3"/>
        <v>0000302900001000800000805F9B34FB</v>
      </c>
      <c r="F82" s="47" t="s">
        <v>195</v>
      </c>
      <c r="G82" s="46" t="s">
        <v>273</v>
      </c>
    </row>
    <row r="83" spans="3:7" ht="17.25" x14ac:dyDescent="0.2">
      <c r="C83" s="4" t="s">
        <v>118</v>
      </c>
      <c r="D83" s="61" t="s">
        <v>330</v>
      </c>
      <c r="E83" s="61" t="str">
        <f t="shared" si="3"/>
        <v>0000302A00001000800000805F9B34FB</v>
      </c>
      <c r="F83" s="48" t="s">
        <v>196</v>
      </c>
      <c r="G83" s="46" t="s">
        <v>274</v>
      </c>
    </row>
    <row r="84" spans="3:7" ht="17.25" x14ac:dyDescent="0.2">
      <c r="C84" s="4" t="s">
        <v>119</v>
      </c>
      <c r="D84" s="61" t="s">
        <v>331</v>
      </c>
      <c r="E84" s="61" t="str">
        <f t="shared" si="3"/>
        <v>0000302B00001000800000805F9B34FB</v>
      </c>
      <c r="F84" s="48" t="s">
        <v>239</v>
      </c>
      <c r="G84" s="46" t="s">
        <v>275</v>
      </c>
    </row>
    <row r="85" spans="3:7" ht="17.25" x14ac:dyDescent="0.2">
      <c r="C85" s="26" t="s">
        <v>120</v>
      </c>
      <c r="D85" s="61" t="s">
        <v>332</v>
      </c>
      <c r="E85" s="61" t="str">
        <f t="shared" si="3"/>
        <v>0000302C00001000800000805F9B34FB</v>
      </c>
      <c r="F85" s="48" t="s">
        <v>197</v>
      </c>
      <c r="G85" s="46" t="s">
        <v>276</v>
      </c>
    </row>
    <row r="86" spans="3:7" ht="17.25" x14ac:dyDescent="0.2">
      <c r="C86" s="4" t="s">
        <v>121</v>
      </c>
      <c r="D86" s="61" t="s">
        <v>333</v>
      </c>
      <c r="E86" s="61" t="str">
        <f t="shared" si="3"/>
        <v>0000302D00001000800000805F9B34FB</v>
      </c>
      <c r="F86" s="48" t="s">
        <v>198</v>
      </c>
      <c r="G86" s="46" t="s">
        <v>277</v>
      </c>
    </row>
    <row r="87" spans="3:7" ht="17.25" x14ac:dyDescent="0.2">
      <c r="C87" s="4" t="s">
        <v>122</v>
      </c>
      <c r="D87" s="61" t="s">
        <v>334</v>
      </c>
      <c r="E87" s="61" t="str">
        <f t="shared" si="3"/>
        <v>0000302E00001000800000805F9B34FB</v>
      </c>
      <c r="F87" s="48" t="s">
        <v>199</v>
      </c>
      <c r="G87" s="46" t="s">
        <v>278</v>
      </c>
    </row>
    <row r="88" spans="3:7" ht="15" x14ac:dyDescent="0.2">
      <c r="C88" s="4" t="s">
        <v>123</v>
      </c>
      <c r="D88" s="61" t="s">
        <v>335</v>
      </c>
      <c r="E88" s="61" t="str">
        <f t="shared" si="3"/>
        <v>0000302F00001000800000805F9B34FB</v>
      </c>
      <c r="F88" s="49" t="s">
        <v>200</v>
      </c>
      <c r="G88" s="46" t="s">
        <v>279</v>
      </c>
    </row>
    <row r="89" spans="3:7" ht="15" x14ac:dyDescent="0.2">
      <c r="C89" s="26" t="s">
        <v>124</v>
      </c>
      <c r="D89" s="61">
        <v>3030</v>
      </c>
      <c r="E89" s="61" t="str">
        <f t="shared" si="3"/>
        <v>0000303000001000800000805F9B34FB</v>
      </c>
      <c r="F89" s="46" t="s">
        <v>201</v>
      </c>
      <c r="G89" s="46" t="s">
        <v>280</v>
      </c>
    </row>
    <row r="90" spans="3:7" ht="15" x14ac:dyDescent="0.2">
      <c r="C90" s="4" t="s">
        <v>125</v>
      </c>
      <c r="D90" s="61">
        <v>3031</v>
      </c>
      <c r="E90" s="61" t="str">
        <f t="shared" si="3"/>
        <v>0000303100001000800000805F9B34FB</v>
      </c>
      <c r="F90" s="46" t="s">
        <v>202</v>
      </c>
      <c r="G90" s="46" t="s">
        <v>281</v>
      </c>
    </row>
    <row r="91" spans="3:7" ht="15" x14ac:dyDescent="0.2">
      <c r="C91" s="4" t="s">
        <v>126</v>
      </c>
      <c r="D91" s="62">
        <v>3032</v>
      </c>
      <c r="E91" s="61" t="str">
        <f t="shared" si="3"/>
        <v>0000303200001000800000805F9B34FB</v>
      </c>
      <c r="F91" s="46" t="s">
        <v>203</v>
      </c>
      <c r="G91" s="46" t="s">
        <v>282</v>
      </c>
    </row>
    <row r="92" spans="3:7" ht="17.25" x14ac:dyDescent="0.2">
      <c r="C92" s="4" t="s">
        <v>127</v>
      </c>
      <c r="D92" s="61">
        <v>3033</v>
      </c>
      <c r="E92" s="61" t="str">
        <f t="shared" si="3"/>
        <v>0000303300001000800000805F9B34FB</v>
      </c>
      <c r="F92" s="51" t="s">
        <v>204</v>
      </c>
      <c r="G92" s="46" t="s">
        <v>283</v>
      </c>
    </row>
    <row r="93" spans="3:7" ht="15" x14ac:dyDescent="0.2">
      <c r="C93" s="4" t="s">
        <v>128</v>
      </c>
      <c r="D93" s="61">
        <v>3034</v>
      </c>
      <c r="E93" s="61" t="str">
        <f t="shared" si="3"/>
        <v>0000303400001000800000805F9B34FB</v>
      </c>
      <c r="F93" s="46" t="s">
        <v>205</v>
      </c>
      <c r="G93" s="46" t="s">
        <v>284</v>
      </c>
    </row>
    <row r="94" spans="3:7" ht="17.25" x14ac:dyDescent="0.2">
      <c r="C94" s="26" t="s">
        <v>129</v>
      </c>
      <c r="D94" s="61">
        <v>3035</v>
      </c>
      <c r="E94" s="61" t="str">
        <f t="shared" si="3"/>
        <v>0000303500001000800000805F9B34FB</v>
      </c>
      <c r="F94" s="46" t="s">
        <v>206</v>
      </c>
      <c r="G94" s="46" t="s">
        <v>285</v>
      </c>
    </row>
    <row r="95" spans="3:7" ht="15" x14ac:dyDescent="0.2">
      <c r="C95" s="4" t="s">
        <v>130</v>
      </c>
      <c r="D95" s="61">
        <v>3036</v>
      </c>
      <c r="E95" s="61" t="str">
        <f t="shared" si="3"/>
        <v>0000303600001000800000805F9B34FB</v>
      </c>
      <c r="F95" s="46" t="s">
        <v>207</v>
      </c>
      <c r="G95" s="46" t="s">
        <v>286</v>
      </c>
    </row>
    <row r="96" spans="3:7" ht="17.25" x14ac:dyDescent="0.2">
      <c r="C96" s="4" t="s">
        <v>131</v>
      </c>
      <c r="D96" s="62">
        <v>3037</v>
      </c>
      <c r="E96" s="61" t="str">
        <f t="shared" si="3"/>
        <v>0000303700001000800000805F9B34FB</v>
      </c>
      <c r="F96" s="46" t="s">
        <v>208</v>
      </c>
      <c r="G96" s="46" t="s">
        <v>287</v>
      </c>
    </row>
    <row r="97" spans="3:7" ht="15" x14ac:dyDescent="0.2">
      <c r="C97" s="4" t="s">
        <v>132</v>
      </c>
      <c r="D97" s="61">
        <v>3038</v>
      </c>
      <c r="E97" s="61" t="str">
        <f t="shared" si="3"/>
        <v>0000303800001000800000805F9B34FB</v>
      </c>
      <c r="F97" s="46" t="s">
        <v>209</v>
      </c>
      <c r="G97" s="46" t="s">
        <v>288</v>
      </c>
    </row>
    <row r="98" spans="3:7" ht="15" x14ac:dyDescent="0.2">
      <c r="C98" s="4" t="s">
        <v>133</v>
      </c>
      <c r="D98" s="61">
        <v>3039</v>
      </c>
      <c r="E98" s="61" t="str">
        <f t="shared" si="3"/>
        <v>0000303900001000800000805F9B34FB</v>
      </c>
      <c r="F98" s="46" t="s">
        <v>210</v>
      </c>
      <c r="G98" s="46" t="s">
        <v>289</v>
      </c>
    </row>
    <row r="99" spans="3:7" ht="15" x14ac:dyDescent="0.2">
      <c r="C99" s="26" t="s">
        <v>134</v>
      </c>
      <c r="D99" s="61" t="s">
        <v>336</v>
      </c>
      <c r="E99" s="61" t="str">
        <f t="shared" si="3"/>
        <v>0000303A00001000800000805F9B34FB</v>
      </c>
      <c r="F99" s="46" t="s">
        <v>211</v>
      </c>
      <c r="G99" s="46" t="s">
        <v>290</v>
      </c>
    </row>
    <row r="100" spans="3:7" ht="15" x14ac:dyDescent="0.2">
      <c r="C100" s="4" t="s">
        <v>135</v>
      </c>
      <c r="D100" s="61" t="s">
        <v>337</v>
      </c>
      <c r="E100" s="61" t="str">
        <f t="shared" si="3"/>
        <v>0000303B00001000800000805F9B34FB</v>
      </c>
      <c r="F100" s="49" t="s">
        <v>212</v>
      </c>
      <c r="G100" s="46" t="s">
        <v>291</v>
      </c>
    </row>
    <row r="101" spans="3:7" ht="17.25" x14ac:dyDescent="0.2">
      <c r="C101" s="4" t="s">
        <v>136</v>
      </c>
      <c r="D101" s="62" t="s">
        <v>338</v>
      </c>
      <c r="E101" s="61" t="str">
        <f t="shared" si="3"/>
        <v>0000303C00001000800000805F9B34FB</v>
      </c>
      <c r="F101" s="49" t="s">
        <v>213</v>
      </c>
      <c r="G101" s="46" t="s">
        <v>292</v>
      </c>
    </row>
    <row r="102" spans="3:7" ht="17.25" x14ac:dyDescent="0.2">
      <c r="C102" s="4" t="s">
        <v>137</v>
      </c>
      <c r="D102" s="61" t="s">
        <v>339</v>
      </c>
      <c r="E102" s="61" t="str">
        <f t="shared" si="3"/>
        <v>0000303D00001000800000805F9B34FB</v>
      </c>
      <c r="F102" s="49" t="s">
        <v>214</v>
      </c>
      <c r="G102" s="46" t="s">
        <v>293</v>
      </c>
    </row>
    <row r="103" spans="3:7" ht="17.25" x14ac:dyDescent="0.2">
      <c r="C103" s="4" t="s">
        <v>138</v>
      </c>
      <c r="D103" s="61" t="s">
        <v>340</v>
      </c>
      <c r="E103" s="61" t="str">
        <f t="shared" si="3"/>
        <v>0000303E00001000800000805F9B34FB</v>
      </c>
      <c r="F103" s="49" t="s">
        <v>215</v>
      </c>
      <c r="G103" s="46" t="s">
        <v>294</v>
      </c>
    </row>
    <row r="104" spans="3:7" ht="18" x14ac:dyDescent="0.2">
      <c r="C104" s="26" t="s">
        <v>139</v>
      </c>
      <c r="D104" s="61" t="s">
        <v>341</v>
      </c>
      <c r="E104" s="61" t="str">
        <f t="shared" si="3"/>
        <v>0000303F00001000800000805F9B34FB</v>
      </c>
      <c r="F104" s="49" t="s">
        <v>240</v>
      </c>
      <c r="G104" s="46" t="s">
        <v>295</v>
      </c>
    </row>
    <row r="105" spans="3:7" ht="17.25" x14ac:dyDescent="0.2">
      <c r="C105" s="4" t="s">
        <v>140</v>
      </c>
      <c r="D105" s="61">
        <v>3040</v>
      </c>
      <c r="E105" s="61" t="str">
        <f t="shared" ref="E105:E137" si="4">$C$3&amp;D105&amp;$C$4</f>
        <v>0000304000001000800000805F9B34FB</v>
      </c>
      <c r="F105" s="46" t="s">
        <v>216</v>
      </c>
      <c r="G105" s="46" t="s">
        <v>296</v>
      </c>
    </row>
    <row r="106" spans="3:7" ht="15" x14ac:dyDescent="0.2">
      <c r="C106" s="4" t="s">
        <v>141</v>
      </c>
      <c r="D106" s="61">
        <v>3041</v>
      </c>
      <c r="E106" s="61" t="str">
        <f t="shared" si="4"/>
        <v>0000304100001000800000805F9B34FB</v>
      </c>
      <c r="F106" s="46" t="s">
        <v>217</v>
      </c>
      <c r="G106" s="46" t="s">
        <v>297</v>
      </c>
    </row>
    <row r="107" spans="3:7" ht="17.25" x14ac:dyDescent="0.2">
      <c r="C107" s="4" t="s">
        <v>142</v>
      </c>
      <c r="D107" s="61">
        <v>3042</v>
      </c>
      <c r="E107" s="61" t="str">
        <f t="shared" si="4"/>
        <v>0000304200001000800000805F9B34FB</v>
      </c>
      <c r="F107" s="46" t="s">
        <v>218</v>
      </c>
      <c r="G107" s="46" t="s">
        <v>298</v>
      </c>
    </row>
    <row r="108" spans="3:7" ht="17.25" x14ac:dyDescent="0.2">
      <c r="C108" s="26" t="s">
        <v>143</v>
      </c>
      <c r="D108" s="61">
        <v>3043</v>
      </c>
      <c r="E108" s="61" t="str">
        <f t="shared" si="4"/>
        <v>0000304300001000800000805F9B34FB</v>
      </c>
      <c r="F108" s="46" t="s">
        <v>219</v>
      </c>
      <c r="G108" s="46" t="s">
        <v>299</v>
      </c>
    </row>
    <row r="109" spans="3:7" ht="17.25" x14ac:dyDescent="0.2">
      <c r="C109" s="4" t="s">
        <v>144</v>
      </c>
      <c r="D109" s="61">
        <v>3044</v>
      </c>
      <c r="E109" s="61" t="str">
        <f t="shared" si="4"/>
        <v>0000304400001000800000805F9B34FB</v>
      </c>
      <c r="F109" s="46" t="s">
        <v>220</v>
      </c>
      <c r="G109" s="46" t="s">
        <v>300</v>
      </c>
    </row>
    <row r="110" spans="3:7" ht="17.25" x14ac:dyDescent="0.2">
      <c r="C110" s="4" t="s">
        <v>145</v>
      </c>
      <c r="D110" s="62">
        <v>3045</v>
      </c>
      <c r="E110" s="61" t="str">
        <f t="shared" si="4"/>
        <v>0000304500001000800000805F9B34FB</v>
      </c>
      <c r="F110" s="46" t="s">
        <v>221</v>
      </c>
      <c r="G110" s="46" t="s">
        <v>301</v>
      </c>
    </row>
    <row r="111" spans="3:7" ht="17.25" x14ac:dyDescent="0.2">
      <c r="C111" s="4" t="s">
        <v>146</v>
      </c>
      <c r="D111" s="61">
        <v>3046</v>
      </c>
      <c r="E111" s="61" t="str">
        <f t="shared" si="4"/>
        <v>0000304600001000800000805F9B34FB</v>
      </c>
      <c r="F111" s="46" t="s">
        <v>222</v>
      </c>
      <c r="G111" s="46" t="s">
        <v>302</v>
      </c>
    </row>
    <row r="112" spans="3:7" ht="15" x14ac:dyDescent="0.2">
      <c r="C112" s="4" t="s">
        <v>147</v>
      </c>
      <c r="D112" s="61">
        <v>3047</v>
      </c>
      <c r="E112" s="61" t="str">
        <f t="shared" si="4"/>
        <v>0000304700001000800000805F9B34FB</v>
      </c>
      <c r="F112" s="46" t="s">
        <v>223</v>
      </c>
      <c r="G112" s="46" t="s">
        <v>303</v>
      </c>
    </row>
    <row r="113" spans="3:7" ht="15" x14ac:dyDescent="0.2">
      <c r="C113" s="26" t="s">
        <v>148</v>
      </c>
      <c r="D113" s="61">
        <v>3048</v>
      </c>
      <c r="E113" s="61" t="str">
        <f t="shared" si="4"/>
        <v>0000304800001000800000805F9B34FB</v>
      </c>
      <c r="F113" s="46" t="s">
        <v>224</v>
      </c>
      <c r="G113" s="46" t="s">
        <v>304</v>
      </c>
    </row>
    <row r="114" spans="3:7" ht="15" x14ac:dyDescent="0.2">
      <c r="C114" s="4" t="s">
        <v>149</v>
      </c>
      <c r="D114" s="61">
        <v>3049</v>
      </c>
      <c r="E114" s="61" t="str">
        <f t="shared" si="4"/>
        <v>0000304900001000800000805F9B34FB</v>
      </c>
      <c r="F114" s="46" t="s">
        <v>225</v>
      </c>
      <c r="G114" s="46" t="s">
        <v>305</v>
      </c>
    </row>
    <row r="115" spans="3:7" ht="17.25" x14ac:dyDescent="0.2">
      <c r="C115" s="4" t="s">
        <v>150</v>
      </c>
      <c r="D115" s="62" t="s">
        <v>342</v>
      </c>
      <c r="E115" s="61" t="str">
        <f t="shared" si="4"/>
        <v>0000304A00001000800000805F9B34FB</v>
      </c>
      <c r="F115" s="46" t="s">
        <v>226</v>
      </c>
      <c r="G115" s="46" t="s">
        <v>306</v>
      </c>
    </row>
    <row r="116" spans="3:7" ht="17.25" x14ac:dyDescent="0.2">
      <c r="C116" s="4" t="s">
        <v>151</v>
      </c>
      <c r="D116" s="61" t="s">
        <v>343</v>
      </c>
      <c r="E116" s="61" t="str">
        <f t="shared" si="4"/>
        <v>0000304B00001000800000805F9B34FB</v>
      </c>
      <c r="F116" s="51" t="s">
        <v>241</v>
      </c>
      <c r="G116" s="47" t="s">
        <v>307</v>
      </c>
    </row>
    <row r="117" spans="3:7" ht="15" x14ac:dyDescent="0.2">
      <c r="C117" s="4" t="s">
        <v>152</v>
      </c>
      <c r="D117" s="61" t="s">
        <v>344</v>
      </c>
      <c r="E117" s="61" t="str">
        <f t="shared" si="4"/>
        <v>0000304C00001000800000805F9B34FB</v>
      </c>
      <c r="F117" s="46" t="s">
        <v>227</v>
      </c>
      <c r="G117" s="46"/>
    </row>
    <row r="118" spans="3:7" ht="15" x14ac:dyDescent="0.2">
      <c r="C118" s="26" t="s">
        <v>153</v>
      </c>
      <c r="D118" s="61" t="s">
        <v>345</v>
      </c>
      <c r="E118" s="61" t="str">
        <f t="shared" si="4"/>
        <v>0000304D00001000800000805F9B34FB</v>
      </c>
      <c r="F118" s="46" t="s">
        <v>228</v>
      </c>
      <c r="G118" s="46"/>
    </row>
    <row r="119" spans="3:7" ht="15" x14ac:dyDescent="0.2">
      <c r="C119" s="4" t="s">
        <v>154</v>
      </c>
      <c r="D119" s="61" t="s">
        <v>346</v>
      </c>
      <c r="E119" s="61" t="str">
        <f t="shared" si="4"/>
        <v>0000304E00001000800000805F9B34FB</v>
      </c>
      <c r="F119" s="46"/>
      <c r="G119" s="46" t="s">
        <v>308</v>
      </c>
    </row>
    <row r="120" spans="3:7" ht="15" x14ac:dyDescent="0.2">
      <c r="C120" s="4" t="s">
        <v>155</v>
      </c>
      <c r="D120" s="62" t="s">
        <v>347</v>
      </c>
      <c r="E120" s="61" t="str">
        <f t="shared" si="4"/>
        <v>0000304F00001000800000805F9B34FB</v>
      </c>
      <c r="F120" s="46"/>
      <c r="G120" s="46" t="s">
        <v>309</v>
      </c>
    </row>
    <row r="121" spans="3:7" ht="15" x14ac:dyDescent="0.2">
      <c r="C121" s="4" t="s">
        <v>156</v>
      </c>
      <c r="D121" s="61">
        <v>3050</v>
      </c>
      <c r="E121" s="61" t="str">
        <f t="shared" si="4"/>
        <v>0000305000001000800000805F9B34FB</v>
      </c>
      <c r="F121" s="46"/>
      <c r="G121" s="46" t="s">
        <v>310</v>
      </c>
    </row>
    <row r="122" spans="3:7" ht="15" x14ac:dyDescent="0.2">
      <c r="C122" s="4" t="s">
        <v>157</v>
      </c>
      <c r="D122" s="61">
        <v>3051</v>
      </c>
      <c r="E122" s="61" t="str">
        <f t="shared" si="4"/>
        <v>0000305100001000800000805F9B34FB</v>
      </c>
      <c r="F122" s="46"/>
      <c r="G122" s="46" t="s">
        <v>311</v>
      </c>
    </row>
    <row r="123" spans="3:7" ht="15" x14ac:dyDescent="0.2">
      <c r="C123" s="26" t="s">
        <v>158</v>
      </c>
      <c r="D123" s="61">
        <v>3052</v>
      </c>
      <c r="E123" s="61" t="str">
        <f t="shared" si="4"/>
        <v>0000305200001000800000805F9B34FB</v>
      </c>
      <c r="F123" s="46"/>
      <c r="G123" s="46" t="s">
        <v>312</v>
      </c>
    </row>
    <row r="124" spans="3:7" ht="15" x14ac:dyDescent="0.2">
      <c r="C124" s="4" t="s">
        <v>159</v>
      </c>
      <c r="D124" s="61">
        <v>3053</v>
      </c>
      <c r="E124" s="61" t="str">
        <f t="shared" si="4"/>
        <v>0000305300001000800000805F9B34FB</v>
      </c>
      <c r="F124" s="46" t="s">
        <v>229</v>
      </c>
      <c r="G124" s="46" t="s">
        <v>313</v>
      </c>
    </row>
    <row r="125" spans="3:7" ht="15" x14ac:dyDescent="0.2">
      <c r="C125" s="4" t="s">
        <v>160</v>
      </c>
      <c r="D125" s="61">
        <v>3054</v>
      </c>
      <c r="E125" s="61" t="str">
        <f t="shared" si="4"/>
        <v>0000305400001000800000805F9B34FB</v>
      </c>
      <c r="F125" s="46" t="s">
        <v>230</v>
      </c>
      <c r="G125" s="46" t="s">
        <v>314</v>
      </c>
    </row>
    <row r="126" spans="3:7" ht="15" x14ac:dyDescent="0.2">
      <c r="C126" s="4" t="s">
        <v>161</v>
      </c>
      <c r="D126" s="61">
        <v>3056</v>
      </c>
      <c r="E126" s="61" t="str">
        <f t="shared" si="4"/>
        <v>0000305600001000800000805F9B34FB</v>
      </c>
      <c r="F126" s="46" t="s">
        <v>231</v>
      </c>
      <c r="G126" s="46" t="s">
        <v>315</v>
      </c>
    </row>
    <row r="127" spans="3:7" ht="18" x14ac:dyDescent="0.2">
      <c r="C127" s="26" t="s">
        <v>162</v>
      </c>
      <c r="D127" s="61">
        <v>3057</v>
      </c>
      <c r="E127" s="61" t="str">
        <f t="shared" si="4"/>
        <v>0000305700001000800000805F9B34FB</v>
      </c>
      <c r="F127" s="46" t="s">
        <v>232</v>
      </c>
      <c r="G127" s="46" t="s">
        <v>316</v>
      </c>
    </row>
    <row r="128" spans="3:7" ht="18" x14ac:dyDescent="0.2">
      <c r="C128" s="4" t="s">
        <v>163</v>
      </c>
      <c r="D128" s="61">
        <v>3058</v>
      </c>
      <c r="E128" s="61" t="str">
        <f t="shared" si="4"/>
        <v>0000305800001000800000805F9B34FB</v>
      </c>
      <c r="F128" s="46" t="s">
        <v>233</v>
      </c>
      <c r="G128" s="46" t="s">
        <v>317</v>
      </c>
    </row>
    <row r="129" spans="1:7" x14ac:dyDescent="0.2">
      <c r="A129" s="19"/>
      <c r="B129" s="64" t="s">
        <v>373</v>
      </c>
      <c r="C129" s="19"/>
      <c r="D129" s="77" t="s">
        <v>485</v>
      </c>
      <c r="E129" s="22" t="str">
        <f t="shared" si="4"/>
        <v>0000xxxx00001000800000805F9B34FB</v>
      </c>
      <c r="F129" s="22"/>
      <c r="G129" s="22"/>
    </row>
    <row r="130" spans="1:7" x14ac:dyDescent="0.2">
      <c r="A130" s="19"/>
      <c r="B130" s="19" t="s">
        <v>19</v>
      </c>
      <c r="C130" s="19"/>
      <c r="D130" s="22">
        <v>1801</v>
      </c>
      <c r="E130" s="22" t="str">
        <f t="shared" si="4"/>
        <v>0000180100001000800000805F9B34FB</v>
      </c>
      <c r="F130" s="22"/>
      <c r="G130" s="22"/>
    </row>
    <row r="131" spans="1:7" x14ac:dyDescent="0.2">
      <c r="C131" t="s">
        <v>29</v>
      </c>
      <c r="D131" s="15" t="s">
        <v>439</v>
      </c>
      <c r="E131" s="15" t="str">
        <f t="shared" si="4"/>
        <v>00002A0500001000800000805F9B34FB</v>
      </c>
      <c r="F131" s="15"/>
      <c r="G131" s="15"/>
    </row>
    <row r="132" spans="1:7" x14ac:dyDescent="0.2">
      <c r="A132" s="19"/>
      <c r="B132" s="19" t="s">
        <v>20</v>
      </c>
      <c r="C132" s="19"/>
      <c r="D132" s="22">
        <v>1800</v>
      </c>
      <c r="E132" s="22" t="str">
        <f t="shared" si="4"/>
        <v>0000180000001000800000805F9B34FB</v>
      </c>
      <c r="F132" s="22"/>
      <c r="G132" s="22"/>
    </row>
    <row r="133" spans="1:7" x14ac:dyDescent="0.2">
      <c r="C133" t="s">
        <v>2</v>
      </c>
      <c r="D133" s="15" t="s">
        <v>440</v>
      </c>
      <c r="E133" s="15" t="str">
        <f t="shared" si="4"/>
        <v>00002A0000001000800000805F9B34FB</v>
      </c>
      <c r="F133" s="15"/>
      <c r="G133" s="15"/>
    </row>
    <row r="134" spans="1:7" x14ac:dyDescent="0.2">
      <c r="C134" s="63" t="s">
        <v>374</v>
      </c>
      <c r="D134" s="15" t="s">
        <v>441</v>
      </c>
      <c r="E134" s="15" t="str">
        <f t="shared" si="4"/>
        <v>00002A0100001000800000805F9B34FB</v>
      </c>
      <c r="F134" s="15"/>
      <c r="G134" s="15"/>
    </row>
    <row r="135" spans="1:7" x14ac:dyDescent="0.2">
      <c r="C135" s="66" t="s">
        <v>517</v>
      </c>
      <c r="D135" s="15" t="s">
        <v>442</v>
      </c>
      <c r="E135" s="15" t="str">
        <f t="shared" si="4"/>
        <v>00002A0200001000800000805F9B34FB</v>
      </c>
      <c r="F135" s="15"/>
      <c r="G135" s="15"/>
    </row>
    <row r="136" spans="1:7" x14ac:dyDescent="0.2">
      <c r="C136" t="s">
        <v>364</v>
      </c>
      <c r="D136" s="15" t="s">
        <v>443</v>
      </c>
      <c r="E136" s="15" t="str">
        <f t="shared" si="4"/>
        <v>00002A0300001000800000805F9B34FB</v>
      </c>
      <c r="F136" s="15"/>
      <c r="G136" s="15"/>
    </row>
    <row r="137" spans="1:7" x14ac:dyDescent="0.2">
      <c r="C137" t="s">
        <v>375</v>
      </c>
      <c r="D137" s="15" t="s">
        <v>444</v>
      </c>
      <c r="E137" s="15" t="str">
        <f t="shared" si="4"/>
        <v>00002A0400001000800000805F9B34FB</v>
      </c>
      <c r="F137" s="15"/>
      <c r="G137" s="15"/>
    </row>
    <row r="138" spans="1:7" x14ac:dyDescent="0.2">
      <c r="A138" s="19"/>
      <c r="B138" s="19" t="s">
        <v>379</v>
      </c>
      <c r="C138" s="19"/>
      <c r="D138" s="22" t="s">
        <v>380</v>
      </c>
      <c r="E138" s="22" t="str">
        <f t="shared" ref="E138:E149" si="5">$C$3&amp;D138&amp;$C$4</f>
        <v>0000A00A00001000800000805F9B34FB</v>
      </c>
      <c r="F138" s="22"/>
      <c r="G138" s="22"/>
    </row>
    <row r="139" spans="1:7" x14ac:dyDescent="0.2">
      <c r="C139" s="65" t="s">
        <v>381</v>
      </c>
      <c r="D139" s="15" t="s">
        <v>353</v>
      </c>
      <c r="E139" s="15" t="str">
        <f t="shared" si="5"/>
        <v>0000B00100001000800000805F9B34FB</v>
      </c>
    </row>
    <row r="140" spans="1:7" x14ac:dyDescent="0.2">
      <c r="C140" s="65" t="s">
        <v>382</v>
      </c>
      <c r="D140" s="15" t="s">
        <v>354</v>
      </c>
      <c r="E140" s="15" t="str">
        <f t="shared" si="5"/>
        <v>0000B00200001000800000805F9B34FB</v>
      </c>
    </row>
    <row r="141" spans="1:7" x14ac:dyDescent="0.2">
      <c r="C141" s="65" t="s">
        <v>383</v>
      </c>
      <c r="D141" s="15" t="s">
        <v>355</v>
      </c>
      <c r="E141" s="15" t="str">
        <f t="shared" si="5"/>
        <v>0000B00300001000800000805F9B34FB</v>
      </c>
    </row>
    <row r="142" spans="1:7" x14ac:dyDescent="0.2">
      <c r="C142" s="65" t="s">
        <v>563</v>
      </c>
      <c r="D142" s="99" t="s">
        <v>560</v>
      </c>
      <c r="E142" s="15" t="str">
        <f t="shared" si="5"/>
        <v>0000B01200001000800000805F9B34FB</v>
      </c>
    </row>
    <row r="143" spans="1:7" x14ac:dyDescent="0.2">
      <c r="C143" s="65" t="s">
        <v>564</v>
      </c>
      <c r="D143" s="99" t="s">
        <v>561</v>
      </c>
      <c r="E143" s="15" t="str">
        <f t="shared" si="5"/>
        <v>0000B01300001000800000805F9B34FB</v>
      </c>
    </row>
    <row r="144" spans="1:7" x14ac:dyDescent="0.2">
      <c r="C144" s="65" t="s">
        <v>565</v>
      </c>
      <c r="D144" s="99" t="s">
        <v>562</v>
      </c>
      <c r="E144" s="15" t="str">
        <f t="shared" si="5"/>
        <v>0000B01400001000800000805F9B34FB</v>
      </c>
    </row>
    <row r="145" spans="1:7" x14ac:dyDescent="0.2">
      <c r="A145" s="19"/>
      <c r="B145" s="19" t="s">
        <v>384</v>
      </c>
      <c r="C145" s="19"/>
      <c r="D145" s="22" t="s">
        <v>388</v>
      </c>
      <c r="E145" s="22" t="str">
        <f t="shared" si="5"/>
        <v>0000A00B00001000800000805F9B34FB</v>
      </c>
      <c r="F145" s="22"/>
      <c r="G145" s="22"/>
    </row>
    <row r="146" spans="1:7" x14ac:dyDescent="0.2">
      <c r="C146" s="65" t="s">
        <v>401</v>
      </c>
      <c r="D146" s="15" t="s">
        <v>356</v>
      </c>
      <c r="E146" s="15" t="str">
        <f t="shared" si="5"/>
        <v>0000B00400001000800000805F9B34FB</v>
      </c>
    </row>
    <row r="147" spans="1:7" x14ac:dyDescent="0.2">
      <c r="C147" s="65" t="s">
        <v>385</v>
      </c>
      <c r="D147" s="15" t="s">
        <v>357</v>
      </c>
      <c r="E147" s="15" t="str">
        <f>$C$3&amp;D147&amp;$C$4</f>
        <v>0000B00500001000800000805F9B34FB</v>
      </c>
    </row>
    <row r="148" spans="1:7" x14ac:dyDescent="0.2">
      <c r="C148" s="65" t="s">
        <v>386</v>
      </c>
      <c r="D148" s="15" t="s">
        <v>358</v>
      </c>
      <c r="E148" s="15" t="str">
        <f t="shared" si="5"/>
        <v>0000B00600001000800000805F9B34FB</v>
      </c>
      <c r="F148" s="15"/>
    </row>
    <row r="149" spans="1:7" x14ac:dyDescent="0.2">
      <c r="C149" s="65" t="s">
        <v>387</v>
      </c>
      <c r="D149" s="15" t="s">
        <v>359</v>
      </c>
      <c r="E149" s="15" t="str">
        <f t="shared" si="5"/>
        <v>0000B00700001000800000805F9B34FB</v>
      </c>
      <c r="F149" s="45"/>
    </row>
    <row r="150" spans="1:7" x14ac:dyDescent="0.2">
      <c r="C150" s="65" t="s">
        <v>389</v>
      </c>
      <c r="D150" s="15" t="s">
        <v>360</v>
      </c>
      <c r="E150" s="15" t="str">
        <f>$C$3&amp;D150&amp;$C$4</f>
        <v>0000B00800001000800000805F9B34FB</v>
      </c>
      <c r="F150" s="45"/>
    </row>
    <row r="151" spans="1:7" x14ac:dyDescent="0.2">
      <c r="C151" s="65" t="s">
        <v>406</v>
      </c>
      <c r="E151" s="58" t="s">
        <v>405</v>
      </c>
    </row>
    <row r="152" spans="1:7" x14ac:dyDescent="0.2">
      <c r="C152" s="65" t="s">
        <v>572</v>
      </c>
      <c r="D152" s="99" t="s">
        <v>573</v>
      </c>
      <c r="E152" s="58" t="str">
        <f>$C$3&amp;D152&amp;$C$4</f>
        <v>0000B01500001000800000805F9B34FB</v>
      </c>
    </row>
    <row r="153" spans="1:7" x14ac:dyDescent="0.2">
      <c r="C153" s="65" t="s">
        <v>574</v>
      </c>
      <c r="D153" s="99" t="s">
        <v>575</v>
      </c>
      <c r="E153" s="58" t="str">
        <f>$C$3&amp;D153&amp;$C$4</f>
        <v>0000B01600001000800000805F9B34FB</v>
      </c>
    </row>
    <row r="154" spans="1:7" x14ac:dyDescent="0.2">
      <c r="C154" s="65" t="s">
        <v>576</v>
      </c>
      <c r="D154" s="99" t="s">
        <v>577</v>
      </c>
      <c r="E154" s="58" t="str">
        <f>$C$3&amp;D154&amp;$C$4</f>
        <v>0000B01700001000800000805F9B34FB</v>
      </c>
    </row>
    <row r="155" spans="1:7" x14ac:dyDescent="0.2">
      <c r="A155" s="19"/>
      <c r="B155" s="19" t="s">
        <v>396</v>
      </c>
      <c r="C155" s="19"/>
      <c r="D155" s="22"/>
      <c r="E155" s="22" t="s">
        <v>397</v>
      </c>
      <c r="F155" s="22"/>
      <c r="G155" s="22"/>
    </row>
    <row r="156" spans="1:7" x14ac:dyDescent="0.2">
      <c r="C156" s="65" t="s">
        <v>394</v>
      </c>
      <c r="E156" s="58" t="s">
        <v>395</v>
      </c>
    </row>
    <row r="157" spans="1:7" x14ac:dyDescent="0.2">
      <c r="C157" s="65" t="s">
        <v>392</v>
      </c>
      <c r="D157" s="15" t="s">
        <v>361</v>
      </c>
      <c r="E157" s="15" t="str">
        <f>$C$3&amp;D157&amp;$C$4</f>
        <v>0000B00A00001000800000805F9B34FB</v>
      </c>
    </row>
    <row r="158" spans="1:7" x14ac:dyDescent="0.2">
      <c r="C158" s="65" t="s">
        <v>423</v>
      </c>
      <c r="E158" s="58" t="s">
        <v>431</v>
      </c>
    </row>
    <row r="159" spans="1:7" x14ac:dyDescent="0.2">
      <c r="C159" s="65" t="s">
        <v>445</v>
      </c>
      <c r="E159" s="58" t="s">
        <v>446</v>
      </c>
    </row>
    <row r="160" spans="1:7" x14ac:dyDescent="0.2">
      <c r="A160" s="19"/>
      <c r="B160" s="19" t="s">
        <v>390</v>
      </c>
      <c r="C160" s="19"/>
      <c r="D160" s="22" t="s">
        <v>391</v>
      </c>
      <c r="E160" s="22" t="str">
        <f>$C$3&amp;D160&amp;$C$4</f>
        <v>0000A00D00001000800000805F9B34FB</v>
      </c>
      <c r="F160" s="22"/>
      <c r="G160" s="22"/>
    </row>
    <row r="161" spans="1:7" x14ac:dyDescent="0.2">
      <c r="C161" s="65" t="s">
        <v>398</v>
      </c>
      <c r="E161" s="58" t="s">
        <v>368</v>
      </c>
    </row>
    <row r="162" spans="1:7" x14ac:dyDescent="0.2">
      <c r="C162" s="65" t="s">
        <v>402</v>
      </c>
      <c r="D162" s="15" t="s">
        <v>403</v>
      </c>
      <c r="E162" s="15" t="str">
        <f t="shared" ref="E162:E169" si="6">$C$3&amp;D162&amp;$C$4</f>
        <v>0000B00C00001000800000805F9B34FB</v>
      </c>
    </row>
    <row r="163" spans="1:7" x14ac:dyDescent="0.2">
      <c r="A163" s="19"/>
      <c r="B163" s="19" t="s">
        <v>393</v>
      </c>
      <c r="C163" s="19"/>
      <c r="D163" s="22" t="s">
        <v>399</v>
      </c>
      <c r="E163" s="22" t="str">
        <f t="shared" si="6"/>
        <v>0000A00E00001000800000805F9B34FB</v>
      </c>
      <c r="F163" s="22"/>
      <c r="G163" s="22"/>
    </row>
    <row r="164" spans="1:7" x14ac:dyDescent="0.2">
      <c r="C164" s="65" t="s">
        <v>400</v>
      </c>
      <c r="D164" s="15" t="s">
        <v>404</v>
      </c>
      <c r="E164" s="15" t="str">
        <f t="shared" si="6"/>
        <v>0000B00D00001000800000805F9B34FB</v>
      </c>
    </row>
    <row r="165" spans="1:7" x14ac:dyDescent="0.2">
      <c r="A165" s="19"/>
      <c r="B165" s="19" t="s">
        <v>536</v>
      </c>
      <c r="C165" s="19"/>
      <c r="D165" s="22" t="s">
        <v>540</v>
      </c>
      <c r="E165" s="22" t="str">
        <f t="shared" si="6"/>
        <v>0000A00F00001000800000805F9B34FB</v>
      </c>
      <c r="F165" s="22"/>
      <c r="G165" s="22"/>
    </row>
    <row r="166" spans="1:7" x14ac:dyDescent="0.2">
      <c r="C166" s="65" t="s">
        <v>537</v>
      </c>
      <c r="D166" s="15" t="s">
        <v>541</v>
      </c>
      <c r="E166" s="15" t="str">
        <f t="shared" si="6"/>
        <v>0000B00E00001000800000805F9B34FB</v>
      </c>
    </row>
    <row r="167" spans="1:7" x14ac:dyDescent="0.2">
      <c r="C167" s="65" t="s">
        <v>538</v>
      </c>
      <c r="D167" s="15" t="s">
        <v>542</v>
      </c>
      <c r="E167" s="15" t="str">
        <f t="shared" si="6"/>
        <v>0000B00F00001000800000805F9B34FB</v>
      </c>
    </row>
    <row r="168" spans="1:7" x14ac:dyDescent="0.2">
      <c r="C168" s="65" t="s">
        <v>539</v>
      </c>
      <c r="D168" s="15" t="s">
        <v>543</v>
      </c>
      <c r="E168" s="15" t="str">
        <f t="shared" si="6"/>
        <v>0000B01000001000800000805F9B34FB</v>
      </c>
    </row>
    <row r="169" spans="1:7" x14ac:dyDescent="0.2">
      <c r="C169" s="65" t="s">
        <v>549</v>
      </c>
      <c r="D169" s="15" t="s">
        <v>550</v>
      </c>
      <c r="E169" s="15" t="str">
        <f t="shared" si="6"/>
        <v>0000B01100001000800000805F9B34FB</v>
      </c>
    </row>
    <row r="172" spans="1:7" x14ac:dyDescent="0.2">
      <c r="A172" s="57"/>
      <c r="B172" s="57"/>
      <c r="C172" s="57"/>
      <c r="D172" s="58"/>
      <c r="E172" s="58"/>
      <c r="F172" s="58"/>
      <c r="G172" s="58"/>
    </row>
    <row r="174" spans="1:7" x14ac:dyDescent="0.2">
      <c r="D174"/>
    </row>
    <row r="175" spans="1:7" x14ac:dyDescent="0.2">
      <c r="B175" t="s">
        <v>369</v>
      </c>
      <c r="C175" s="59" t="s">
        <v>372</v>
      </c>
      <c r="D175" s="60">
        <f t="array" ref="D175">ROWS(D10:D172)-COUNTBLANK(D10:D172)-SUM(IF(FREQUENCY(IF(LEN(D9:D172)&gt;0,MATCH(D9:D172,D9:D172,0),""), IF(LEN(D9:D172)&gt;0,MATCH(D9:D172,D9:D172,0),""))&gt;0,1))</f>
        <v>0</v>
      </c>
    </row>
    <row r="176" spans="1:7" x14ac:dyDescent="0.2">
      <c r="B176" t="s">
        <v>370</v>
      </c>
      <c r="C176" s="59" t="s">
        <v>371</v>
      </c>
      <c r="D176" s="60">
        <f t="array" ref="D176">ROWS(E10:E172)-COUNTBLANK(E10:E172)-SUM(IF(FREQUENCY(IF(LEN(E10:E172)&gt;0,MATCH(E10:E172,E10:E172,0),""), IF(LEN(E10:E172)&gt;0,MATCH(E10:E172,E10:E172,0),""))&gt;0,1))</f>
        <v>0</v>
      </c>
    </row>
    <row r="177" spans="4:4" x14ac:dyDescent="0.2">
      <c r="D177"/>
    </row>
    <row r="182" spans="4:4" x14ac:dyDescent="0.2">
      <c r="D182"/>
    </row>
    <row r="183" spans="4:4" x14ac:dyDescent="0.2">
      <c r="D183"/>
    </row>
    <row r="184" spans="4:4" x14ac:dyDescent="0.2">
      <c r="D184"/>
    </row>
    <row r="185" spans="4:4" x14ac:dyDescent="0.2">
      <c r="D185"/>
    </row>
    <row r="186" spans="4:4" x14ac:dyDescent="0.2">
      <c r="D186"/>
    </row>
    <row r="187" spans="4:4" x14ac:dyDescent="0.2">
      <c r="D187"/>
    </row>
    <row r="188" spans="4:4" x14ac:dyDescent="0.2">
      <c r="D188"/>
    </row>
    <row r="189" spans="4:4" x14ac:dyDescent="0.2">
      <c r="D189"/>
    </row>
    <row r="190" spans="4:4" x14ac:dyDescent="0.2">
      <c r="D190"/>
    </row>
    <row r="191" spans="4:4" x14ac:dyDescent="0.2">
      <c r="D191"/>
    </row>
    <row r="192" spans="4:4" x14ac:dyDescent="0.2">
      <c r="D192"/>
    </row>
    <row r="193" spans="4:4" x14ac:dyDescent="0.2">
      <c r="D193"/>
    </row>
    <row r="194" spans="4:4" x14ac:dyDescent="0.2">
      <c r="D194"/>
    </row>
    <row r="195" spans="4:4" x14ac:dyDescent="0.2">
      <c r="D195"/>
    </row>
    <row r="196" spans="4:4" x14ac:dyDescent="0.2">
      <c r="D196"/>
    </row>
    <row r="197" spans="4:4" x14ac:dyDescent="0.2">
      <c r="D197"/>
    </row>
    <row r="198" spans="4:4" x14ac:dyDescent="0.2">
      <c r="D198"/>
    </row>
    <row r="199" spans="4:4" x14ac:dyDescent="0.2">
      <c r="D199"/>
    </row>
    <row r="200" spans="4:4" x14ac:dyDescent="0.2">
      <c r="D200"/>
    </row>
    <row r="201" spans="4:4" x14ac:dyDescent="0.2">
      <c r="D201"/>
    </row>
    <row r="202" spans="4:4" x14ac:dyDescent="0.2">
      <c r="D202"/>
    </row>
    <row r="203" spans="4:4" x14ac:dyDescent="0.2">
      <c r="D203"/>
    </row>
    <row r="204" spans="4:4" x14ac:dyDescent="0.2">
      <c r="D204"/>
    </row>
    <row r="205" spans="4:4" x14ac:dyDescent="0.2">
      <c r="D205"/>
    </row>
    <row r="206" spans="4:4" x14ac:dyDescent="0.2">
      <c r="D206"/>
    </row>
    <row r="207" spans="4:4" x14ac:dyDescent="0.2">
      <c r="D207"/>
    </row>
    <row r="208" spans="4:4" x14ac:dyDescent="0.2">
      <c r="D208"/>
    </row>
    <row r="209" spans="4:4" x14ac:dyDescent="0.2">
      <c r="D209"/>
    </row>
    <row r="210" spans="4:4" x14ac:dyDescent="0.2">
      <c r="D210"/>
    </row>
    <row r="211" spans="4:4" x14ac:dyDescent="0.2">
      <c r="D211"/>
    </row>
    <row r="212" spans="4:4" x14ac:dyDescent="0.2">
      <c r="D212"/>
    </row>
    <row r="213" spans="4:4" x14ac:dyDescent="0.2">
      <c r="D213"/>
    </row>
    <row r="214" spans="4:4" x14ac:dyDescent="0.2">
      <c r="D214"/>
    </row>
    <row r="215" spans="4:4" x14ac:dyDescent="0.2">
      <c r="D215"/>
    </row>
    <row r="216" spans="4:4" x14ac:dyDescent="0.2">
      <c r="D216"/>
    </row>
    <row r="217" spans="4:4" x14ac:dyDescent="0.2">
      <c r="D217"/>
    </row>
    <row r="218" spans="4:4" x14ac:dyDescent="0.2">
      <c r="D218"/>
    </row>
    <row r="219" spans="4:4" x14ac:dyDescent="0.2">
      <c r="D219"/>
    </row>
    <row r="220" spans="4:4" x14ac:dyDescent="0.2">
      <c r="D220"/>
    </row>
    <row r="221" spans="4:4" x14ac:dyDescent="0.2">
      <c r="D221"/>
    </row>
    <row r="222" spans="4:4" x14ac:dyDescent="0.2">
      <c r="D222"/>
    </row>
    <row r="223" spans="4:4" x14ac:dyDescent="0.2">
      <c r="D223"/>
    </row>
    <row r="224" spans="4:4" x14ac:dyDescent="0.2">
      <c r="D224"/>
    </row>
    <row r="225" spans="4:4" x14ac:dyDescent="0.2">
      <c r="D225"/>
    </row>
    <row r="226" spans="4:4" x14ac:dyDescent="0.2">
      <c r="D226"/>
    </row>
    <row r="227" spans="4:4" x14ac:dyDescent="0.2">
      <c r="D227"/>
    </row>
    <row r="228" spans="4:4" x14ac:dyDescent="0.2">
      <c r="D228"/>
    </row>
    <row r="229" spans="4:4" x14ac:dyDescent="0.2">
      <c r="D229"/>
    </row>
    <row r="230" spans="4:4" x14ac:dyDescent="0.2">
      <c r="D230"/>
    </row>
    <row r="231" spans="4:4" x14ac:dyDescent="0.2">
      <c r="D231"/>
    </row>
    <row r="232" spans="4:4" x14ac:dyDescent="0.2">
      <c r="D232"/>
    </row>
    <row r="233" spans="4:4" x14ac:dyDescent="0.2">
      <c r="D233"/>
    </row>
    <row r="234" spans="4:4" x14ac:dyDescent="0.2">
      <c r="D234"/>
    </row>
    <row r="235" spans="4:4" x14ac:dyDescent="0.2">
      <c r="D235"/>
    </row>
    <row r="236" spans="4:4" x14ac:dyDescent="0.2">
      <c r="D236"/>
    </row>
    <row r="237" spans="4:4" x14ac:dyDescent="0.2">
      <c r="D237"/>
    </row>
    <row r="238" spans="4:4" x14ac:dyDescent="0.2">
      <c r="D238"/>
    </row>
    <row r="239" spans="4:4" x14ac:dyDescent="0.2">
      <c r="D239"/>
    </row>
    <row r="240" spans="4:4" x14ac:dyDescent="0.2">
      <c r="D240"/>
    </row>
    <row r="241" spans="4:4" x14ac:dyDescent="0.2">
      <c r="D241"/>
    </row>
    <row r="242" spans="4:4" x14ac:dyDescent="0.2">
      <c r="D242"/>
    </row>
    <row r="243" spans="4:4" x14ac:dyDescent="0.2">
      <c r="D243"/>
    </row>
    <row r="244" spans="4:4" x14ac:dyDescent="0.2">
      <c r="D244"/>
    </row>
    <row r="245" spans="4:4" x14ac:dyDescent="0.2">
      <c r="D245"/>
    </row>
    <row r="246" spans="4:4" x14ac:dyDescent="0.2">
      <c r="D246"/>
    </row>
    <row r="247" spans="4:4" x14ac:dyDescent="0.2">
      <c r="D247"/>
    </row>
    <row r="248" spans="4:4" x14ac:dyDescent="0.2">
      <c r="D248"/>
    </row>
    <row r="249" spans="4:4" x14ac:dyDescent="0.2">
      <c r="D249"/>
    </row>
    <row r="250" spans="4:4" x14ac:dyDescent="0.2">
      <c r="D250"/>
    </row>
    <row r="251" spans="4:4" x14ac:dyDescent="0.2">
      <c r="D251"/>
    </row>
    <row r="252" spans="4:4" x14ac:dyDescent="0.2">
      <c r="D252"/>
    </row>
  </sheetData>
  <phoneticPr fontId="4" type="noConversion"/>
  <conditionalFormatting sqref="C175:D175">
    <cfRule type="expression" dxfId="1" priority="1" stopIfTrue="1">
      <formula>$D$175&gt;0</formula>
    </cfRule>
  </conditionalFormatting>
  <conditionalFormatting sqref="C176:D176">
    <cfRule type="expression" dxfId="0" priority="2" stopIfTrue="1">
      <formula>$D$176&gt;0</formula>
    </cfRule>
  </conditionalFormatting>
  <pageMargins left="0.75" right="0.75" top="1" bottom="1" header="0.5" footer="0.5"/>
  <pageSetup paperSize="9" orientation="portrait" verticalDpi="0" r:id="rId1"/>
  <headerFooter alignWithMargins="0"/>
  <ignoredErrors>
    <ignoredError sqref="C3"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3"/>
  <sheetViews>
    <sheetView topLeftCell="A10" workbookViewId="0">
      <selection activeCell="D11" sqref="D11"/>
    </sheetView>
  </sheetViews>
  <sheetFormatPr defaultRowHeight="12.75" x14ac:dyDescent="0.2"/>
  <cols>
    <col min="2" max="2" width="11.28515625" bestFit="1" customWidth="1"/>
    <col min="3" max="3" width="85.28515625" customWidth="1"/>
  </cols>
  <sheetData>
    <row r="1" spans="1:3" ht="13.5" thickBot="1" x14ac:dyDescent="0.25">
      <c r="A1" s="82" t="s">
        <v>518</v>
      </c>
      <c r="B1" s="83"/>
      <c r="C1" s="84"/>
    </row>
    <row r="2" spans="1:3" x14ac:dyDescent="0.2">
      <c r="A2" s="85" t="s">
        <v>519</v>
      </c>
      <c r="B2" s="86" t="s">
        <v>520</v>
      </c>
      <c r="C2" s="87" t="s">
        <v>521</v>
      </c>
    </row>
    <row r="3" spans="1:3" x14ac:dyDescent="0.2">
      <c r="A3" s="88" t="s">
        <v>522</v>
      </c>
      <c r="B3" s="89" t="s">
        <v>523</v>
      </c>
      <c r="C3" s="90" t="s">
        <v>524</v>
      </c>
    </row>
    <row r="4" spans="1:3" x14ac:dyDescent="0.2">
      <c r="A4" s="88" t="s">
        <v>525</v>
      </c>
      <c r="B4" s="89" t="s">
        <v>523</v>
      </c>
      <c r="C4" s="90" t="s">
        <v>526</v>
      </c>
    </row>
    <row r="5" spans="1:3" x14ac:dyDescent="0.2">
      <c r="A5" s="88" t="s">
        <v>527</v>
      </c>
      <c r="B5" s="89" t="s">
        <v>528</v>
      </c>
      <c r="C5" s="90"/>
    </row>
    <row r="6" spans="1:3" x14ac:dyDescent="0.2">
      <c r="A6" s="88" t="s">
        <v>529</v>
      </c>
      <c r="B6" s="89" t="s">
        <v>528</v>
      </c>
      <c r="C6" s="90" t="s">
        <v>530</v>
      </c>
    </row>
    <row r="7" spans="1:3" x14ac:dyDescent="0.2">
      <c r="A7" s="88" t="s">
        <v>531</v>
      </c>
      <c r="B7" s="89" t="s">
        <v>528</v>
      </c>
      <c r="C7" s="90" t="s">
        <v>532</v>
      </c>
    </row>
    <row r="8" spans="1:3" ht="226.5" customHeight="1" thickBot="1" x14ac:dyDescent="0.25">
      <c r="A8" s="91" t="s">
        <v>533</v>
      </c>
      <c r="B8" s="92" t="s">
        <v>534</v>
      </c>
      <c r="C8" s="93" t="s">
        <v>535</v>
      </c>
    </row>
    <row r="9" spans="1:3" ht="51" customHeight="1" x14ac:dyDescent="0.2">
      <c r="A9" s="88" t="s">
        <v>559</v>
      </c>
      <c r="B9" s="101">
        <v>41032</v>
      </c>
      <c r="C9" s="100" t="s">
        <v>581</v>
      </c>
    </row>
    <row r="10" spans="1:3" ht="42.6" customHeight="1" x14ac:dyDescent="0.2">
      <c r="A10" s="96" t="s">
        <v>580</v>
      </c>
      <c r="B10" s="98">
        <v>41054</v>
      </c>
      <c r="C10" s="97" t="s">
        <v>582</v>
      </c>
    </row>
    <row r="11" spans="1:3" ht="32.25" x14ac:dyDescent="0.2">
      <c r="B11" s="98">
        <v>41066</v>
      </c>
      <c r="C11" s="119" t="s">
        <v>592</v>
      </c>
    </row>
    <row r="12" spans="1:3" ht="42.75" x14ac:dyDescent="0.2">
      <c r="B12" s="98">
        <v>41078</v>
      </c>
      <c r="C12" s="119" t="s">
        <v>593</v>
      </c>
    </row>
    <row r="13" spans="1:3" ht="21.75" x14ac:dyDescent="0.2">
      <c r="B13" s="98">
        <v>41079</v>
      </c>
      <c r="C13" s="120" t="s">
        <v>595</v>
      </c>
    </row>
    <row r="14" spans="1:3" s="126" customFormat="1" ht="13.5" thickBot="1" x14ac:dyDescent="0.25">
      <c r="A14" s="123"/>
      <c r="B14" s="124">
        <v>41089</v>
      </c>
      <c r="C14" s="125" t="s">
        <v>596</v>
      </c>
    </row>
    <row r="15" spans="1:3" ht="13.5" thickTop="1" x14ac:dyDescent="0.2">
      <c r="A15" s="122" t="s">
        <v>598</v>
      </c>
      <c r="B15" s="98">
        <v>41103</v>
      </c>
      <c r="C15" s="121" t="s">
        <v>597</v>
      </c>
    </row>
    <row r="16" spans="1:3" x14ac:dyDescent="0.2">
      <c r="B16" s="98">
        <v>41122</v>
      </c>
      <c r="C16" s="127" t="s">
        <v>610</v>
      </c>
    </row>
    <row r="17" spans="1:3" x14ac:dyDescent="0.2">
      <c r="A17" s="122" t="s">
        <v>609</v>
      </c>
      <c r="B17" s="98">
        <v>41465</v>
      </c>
      <c r="C17" s="127" t="s">
        <v>611</v>
      </c>
    </row>
    <row r="18" spans="1:3" x14ac:dyDescent="0.2">
      <c r="C18" s="127" t="s">
        <v>612</v>
      </c>
    </row>
    <row r="19" spans="1:3" x14ac:dyDescent="0.2">
      <c r="A19" t="s">
        <v>613</v>
      </c>
      <c r="B19" s="129">
        <v>41500</v>
      </c>
      <c r="C19" s="128" t="s">
        <v>614</v>
      </c>
    </row>
    <row r="20" spans="1:3" x14ac:dyDescent="0.2">
      <c r="A20" t="s">
        <v>615</v>
      </c>
      <c r="B20" s="129">
        <v>41540</v>
      </c>
      <c r="C20" s="128" t="s">
        <v>616</v>
      </c>
    </row>
    <row r="21" spans="1:3" x14ac:dyDescent="0.2">
      <c r="A21" t="s">
        <v>617</v>
      </c>
      <c r="B21" s="129">
        <v>41642</v>
      </c>
      <c r="C21" s="128" t="s">
        <v>618</v>
      </c>
    </row>
    <row r="22" spans="1:3" x14ac:dyDescent="0.2">
      <c r="B22" s="129">
        <v>41649</v>
      </c>
      <c r="C22" s="128" t="s">
        <v>619</v>
      </c>
    </row>
    <row r="23" spans="1:3" x14ac:dyDescent="0.2">
      <c r="B23" s="129">
        <v>42090</v>
      </c>
      <c r="C23" s="128" t="s">
        <v>620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Contents and Directions</vt:lpstr>
      <vt:lpstr>Small Database</vt:lpstr>
      <vt:lpstr>Large Database 1</vt:lpstr>
      <vt:lpstr>Large Database 2</vt:lpstr>
      <vt:lpstr>Large Database 3</vt:lpstr>
      <vt:lpstr>Large Database Source</vt:lpstr>
      <vt:lpstr>UUID Table</vt:lpstr>
      <vt:lpstr>Revision History</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Example Attribute Server</dc:title>
  <dc:creator>Yung-ming Kung</dc:creator>
  <cp:lastModifiedBy>Daniel Cowling</cp:lastModifiedBy>
  <dcterms:created xsi:type="dcterms:W3CDTF">2009-06-25T13:46:06Z</dcterms:created>
  <dcterms:modified xsi:type="dcterms:W3CDTF">2016-03-02T20:31:14Z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